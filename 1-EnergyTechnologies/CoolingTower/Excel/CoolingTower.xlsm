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Cooling Tower/"/>
    </mc:Choice>
  </mc:AlternateContent>
  <xr:revisionPtr revIDLastSave="17" documentId="13_ncr:1_{576B73A6-07D6-4E95-B1E3-0449F13C2A0F}" xr6:coauthVersionLast="47" xr6:coauthVersionMax="47" xr10:uidLastSave="{5E9BD2E1-4892-406A-B340-ECE066F93497}"/>
  <bookViews>
    <workbookView xWindow="-108" yWindow="-108" windowWidth="23256" windowHeight="13176" firstSheet="3" activeTab="8" xr2:uid="{00000000-000D-0000-FFFF-FFFF00000000}"/>
  </bookViews>
  <sheets>
    <sheet name="README" sheetId="1" r:id="rId1"/>
    <sheet name="METADATA" sheetId="2" r:id="rId2"/>
    <sheet name="CONNECTORS" sheetId="3" r:id="rId3"/>
    <sheet name="VARIABLES" sheetId="4" r:id="rId4"/>
    <sheet name="CoolTower" sheetId="5" r:id="rId5"/>
    <sheet name="CALCULATIONS" sheetId="10" r:id="rId6"/>
    <sheet name="CHANGELOG" sheetId="9" r:id="rId7"/>
    <sheet name="SUPPL MATERIAL" sheetId="11" r:id="rId8"/>
    <sheet name="DOCUMENTATION" sheetId="42" r:id="rId9"/>
  </sheets>
  <definedNames>
    <definedName name="Annuity">VARIABLES!$E$37</definedName>
    <definedName name="Annuity_max">VARIABLES!$I$37</definedName>
    <definedName name="Annuity_min">VARIABLES!$H$37</definedName>
    <definedName name="approach">VARIABLES!$E$33</definedName>
    <definedName name="approach_max">VARIABLES!$I$33</definedName>
    <definedName name="approach_min">VARIABLES!$H$33</definedName>
    <definedName name="CEPCI_2008">VARIABLES!$E$30</definedName>
    <definedName name="CEPCI_2008_max">VARIABLES!$I$30</definedName>
    <definedName name="CEPCI_2008_min">VARIABLES!$H$30</definedName>
    <definedName name="CEPCI_2020">VARIABLES!$E$29</definedName>
    <definedName name="CEPCI_2020_max">VARIABLES!$I$29</definedName>
    <definedName name="CEPCI_2020_min">VARIABLES!$H$29</definedName>
    <definedName name="Cinv2_CT">VARIABLES!$E$39</definedName>
    <definedName name="Cinv2_CT_max">VARIABLES!$I$39</definedName>
    <definedName name="Cinv2_CT_min">VARIABLES!$H$39</definedName>
    <definedName name="Cool_Elec">VARIABLES!$E$23</definedName>
    <definedName name="Cool_Elec_max">VARIABLES!$I$23</definedName>
    <definedName name="Cool_Elec_min">VARIABLES!$H$23</definedName>
    <definedName name="Cool_Qmax">VARIABLES!$E$19</definedName>
    <definedName name="Cool_Qmax_max">VARIABLES!$I$19</definedName>
    <definedName name="Cool_Qmax_min">VARIABLES!$H$19</definedName>
    <definedName name="Cool_Tin">VARIABLES!$E$16</definedName>
    <definedName name="Cool_Tin_max">VARIABLES!$I$16</definedName>
    <definedName name="Cool_Tin_min">VARIABLES!$H$16</definedName>
    <definedName name="Cool_Tout">VARIABLES!$E$17</definedName>
    <definedName name="Cool_Tout_max">VARIABLES!$I$17</definedName>
    <definedName name="Cool_Tout_min">VARIABLES!$H$17</definedName>
    <definedName name="cp_water">VARIABLES!$E$18</definedName>
    <definedName name="cp_water_max">VARIABLES!$I$18</definedName>
    <definedName name="cp_water_min">VARIABLES!$H$18</definedName>
    <definedName name="CTCost">VARIABLES!$E$38</definedName>
    <definedName name="CTCost_max">VARIABLES!$I$38</definedName>
    <definedName name="CTCost_min">VARIABLES!$H$38</definedName>
    <definedName name="dtmin_2ph">VARIABLES!$E$26</definedName>
    <definedName name="dtmin_2ph_max">VARIABLES!$I$26</definedName>
    <definedName name="dtmin_2ph_min">VARIABLES!$H$26</definedName>
    <definedName name="dtmin_gas">VARIABLES!$E$24</definedName>
    <definedName name="dtmin_gas_max">VARIABLES!$I$24</definedName>
    <definedName name="dtmin_gas_min">VARIABLES!$H$24</definedName>
    <definedName name="dtmin_liq">VARIABLES!$E$25</definedName>
    <definedName name="dtmin_liq_max">VARIABLES!$I$25</definedName>
    <definedName name="dtmin_liq_min">VARIABLES!$H$25</definedName>
    <definedName name="E_ref_CT">VARIABLES!$E$31</definedName>
    <definedName name="E_ref_CT_max">VARIABLES!$I$31</definedName>
    <definedName name="E_ref_CT_min">VARIABLES!$H$31</definedName>
    <definedName name="i">VARIABLES!$E$28</definedName>
    <definedName name="i_max">VARIABLES!$I$28</definedName>
    <definedName name="i_min">VARIABLES!$H$28</definedName>
    <definedName name="n">VARIABLES!$E$27</definedName>
    <definedName name="n_max">VARIABLES!$I$27</definedName>
    <definedName name="n_min">VARIABLES!$H$27</definedName>
    <definedName name="range">VARIABLES!$E$32</definedName>
    <definedName name="range_max">VARIABLES!$I$32</definedName>
    <definedName name="range_min">VARIABLES!$H$32</definedName>
    <definedName name="RelatHum">VARIABLES!$E$21</definedName>
    <definedName name="RelatHum_max">VARIABLES!$I$21</definedName>
    <definedName name="RelatHum_min">VARIABLES!$H$21</definedName>
    <definedName name="Tdrybulb">VARIABLES!$E$20</definedName>
    <definedName name="Tdrybulb_max">VARIABLES!$I$20</definedName>
    <definedName name="Tdrybulb_min">VARIABLES!$H$20</definedName>
    <definedName name="Twetbulb">VARIABLES!$E$22</definedName>
    <definedName name="Twetbulb_max">VARIABLES!$I$22</definedName>
    <definedName name="Twetbulb_min">VARIABLES!$H$22</definedName>
    <definedName name="water_flow">VARIABLES!$E$34</definedName>
    <definedName name="water_flow_max">VARIABLES!$I$34</definedName>
    <definedName name="water_flow_min">VARIABLES!$H$34</definedName>
    <definedName name="water_vflow">VARIABLES!$E$35</definedName>
    <definedName name="water_vflow_max">VARIABLES!$I$35</definedName>
    <definedName name="water_vflow_min">VARIABLES!$H$35</definedName>
    <definedName name="watermu_CT">VARIABLES!$E$36</definedName>
    <definedName name="watermu_CT_max">VARIABLES!$I$36</definedName>
    <definedName name="watermu_CT_min">VARIABLES!$H$36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25" i="42" l="1"/>
  <c r="A24" i="42"/>
  <c r="A23" i="42"/>
  <c r="A22" i="42"/>
  <c r="A21" i="42"/>
  <c r="A20" i="42"/>
  <c r="A19" i="42"/>
  <c r="A18" i="42"/>
  <c r="A17" i="42"/>
  <c r="A16" i="42"/>
  <c r="A15" i="42"/>
  <c r="A12" i="42"/>
  <c r="A9" i="42"/>
  <c r="A6" i="42"/>
  <c r="E23" i="5" l="1"/>
  <c r="D23" i="5"/>
  <c r="G33" i="5"/>
  <c r="G32" i="5"/>
  <c r="P23" i="5"/>
  <c r="N23" i="5"/>
  <c r="L23" i="5"/>
  <c r="J23" i="5"/>
  <c r="F23" i="5"/>
  <c r="E16" i="5"/>
  <c r="E15" i="5"/>
  <c r="E22" i="4"/>
  <c r="E37" i="4"/>
  <c r="E32" i="4"/>
  <c r="E34" i="4" s="1"/>
  <c r="E31" i="4"/>
  <c r="F33" i="5"/>
  <c r="F31" i="5"/>
  <c r="F30" i="5"/>
  <c r="E35" i="4" l="1"/>
  <c r="E36" i="4" s="1"/>
  <c r="E33" i="4"/>
  <c r="H35" i="4"/>
  <c r="F16" i="5"/>
  <c r="I32" i="4"/>
  <c r="H32" i="4"/>
  <c r="I31" i="4"/>
  <c r="H31" i="4"/>
  <c r="E38" i="4" l="1"/>
  <c r="I35" i="4"/>
  <c r="E39" i="4" l="1"/>
  <c r="K23" i="5"/>
  <c r="O23" i="5" l="1"/>
  <c r="C23" i="5"/>
  <c r="I23" i="5" l="1"/>
  <c r="F32" i="5"/>
  <c r="D15" i="5"/>
  <c r="D16" i="5" l="1"/>
  <c r="M23" i="5"/>
</calcChain>
</file>

<file path=xl/sharedStrings.xml><?xml version="1.0" encoding="utf-8"?>
<sst xmlns="http://schemas.openxmlformats.org/spreadsheetml/2006/main" count="520" uniqueCount="342">
  <si>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</si>
  <si>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</si>
  <si>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</si>
  <si>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</si>
  <si>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</si>
  <si>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</si>
  <si>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</si>
  <si>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</si>
  <si>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</si>
  <si>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01.06.2025</t>
  </si>
  <si>
    <t>The creation date of the model</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</si>
  <si>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</si>
  <si>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</si>
  <si>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</si>
  <si>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</si>
  <si>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</si>
  <si>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</si>
  <si>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</si>
  <si>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</si>
  <si>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</si>
  <si>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</si>
  <si>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</si>
  <si>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</si>
  <si>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</si>
  <si>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</si>
  <si>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</si>
  <si>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</si>
  <si>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MASS</t>
  </si>
  <si>
    <t>kg/h</t>
  </si>
  <si>
    <t>bar</t>
  </si>
  <si>
    <t>(L)</t>
  </si>
  <si>
    <t>WATER</t>
  </si>
  <si>
    <t>MASSFRAC:H2O[1]</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</si>
  <si>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</si>
  <si>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</si>
  <si>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</si>
  <si>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</si>
  <si>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</si>
  <si>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</si>
  <si>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</si>
  <si>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</si>
  <si>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</si>
  <si>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</si>
  <si>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</si>
  <si>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</si>
  <si>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</si>
  <si>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CONTEXT</t>
  </si>
  <si>
    <t>LITERATURE</t>
  </si>
  <si>
    <t>MANDATORY</t>
  </si>
  <si>
    <t>kW/m2K</t>
  </si>
  <si>
    <t>OPTIONAL</t>
  </si>
  <si>
    <t>DIRECTION</t>
  </si>
  <si>
    <t>VALUE</t>
  </si>
  <si>
    <t>IN</t>
  </si>
  <si>
    <t>HEAT STREAMS</t>
  </si>
  <si>
    <t>Hot</t>
  </si>
  <si>
    <t>EQUIPMENTS</t>
  </si>
  <si>
    <t>Lifetime</t>
  </si>
  <si>
    <t>year</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</si>
  <si>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</si>
  <si>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</si>
  <si>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</si>
  <si>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</si>
  <si>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</si>
  <si>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</si>
  <si>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</si>
  <si>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</si>
  <si>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</si>
  <si>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</si>
  <si>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</si>
  <si>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</si>
  <si>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</si>
  <si>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</si>
  <si>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</si>
  <si>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</si>
  <si>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</si>
  <si>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</si>
  <si>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</si>
  <si>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</si>
  <si>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</si>
  <si>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</si>
  <si>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kJ/kgK</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</si>
  <si>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</si>
  <si>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</si>
  <si>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</si>
  <si>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</si>
  <si>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</si>
  <si>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</si>
  <si>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</si>
  <si>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</si>
  <si>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</si>
  <si>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</si>
  <si>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</si>
  <si>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</si>
  <si>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</si>
  <si>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</si>
  <si>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</si>
  <si>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</si>
  <si>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</si>
  <si>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</si>
  <si>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</si>
  <si>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</si>
  <si>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</si>
  <si>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</si>
  <si>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</si>
  <si>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</si>
  <si>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</si>
  <si>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</si>
  <si>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</si>
  <si>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</si>
  <si>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</si>
  <si>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</si>
  <si>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</si>
  <si>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</si>
  <si>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</si>
  <si>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Drawio</t>
  </si>
  <si>
    <t>50 kB</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</si>
  <si>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</si>
  <si>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</si>
  <si>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</si>
  <si>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</si>
  <si>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</si>
  <si>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</si>
  <si>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</si>
  <si>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</si>
  <si>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</si>
  <si>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</si>
  <si>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</si>
  <si>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</si>
  <si>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</si>
  <si>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</si>
  <si>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</si>
  <si>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</si>
  <si>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</si>
  <si>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</si>
  <si>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</si>
  <si>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</si>
  <si>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K</t>
  </si>
  <si>
    <t>DTMIN CONTR VALUE</t>
  </si>
  <si>
    <t>DTMIN CONTR UNIT</t>
  </si>
  <si>
    <t>HEAT TRANSFER COEF VALUE</t>
  </si>
  <si>
    <t>HEAT TRANSFER COEF UNIT</t>
  </si>
  <si>
    <t>REFERENCE STREAM</t>
  </si>
  <si>
    <t>Yes</t>
  </si>
  <si>
    <t>No</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</si>
  <si>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</si>
  <si>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</si>
  <si>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</si>
  <si>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</si>
  <si>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</si>
  <si>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</si>
  <si>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</si>
  <si>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</si>
  <si>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</si>
  <si>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</si>
  <si>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</si>
  <si>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</si>
  <si>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</si>
  <si>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</si>
  <si>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</si>
  <si>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</si>
  <si>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</si>
  <si>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</si>
  <si>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</si>
  <si>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</si>
  <si>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</si>
  <si>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</si>
  <si>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</si>
  <si>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</si>
  <si>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</si>
  <si>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</si>
  <si>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</si>
  <si>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</si>
  <si>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</si>
  <si>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</si>
  <si>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</si>
  <si>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Daniel Flórez-Orrego, EPFL IPESE research group</t>
  </si>
  <si>
    <t>24.03.2026</t>
  </si>
  <si>
    <t>Cooling tower utility</t>
  </si>
  <si>
    <t>Electricity</t>
  </si>
  <si>
    <t>Water</t>
  </si>
  <si>
    <t>Cool_Tin</t>
  </si>
  <si>
    <t>$Cool_{Tin}$</t>
  </si>
  <si>
    <t>Cool_Tout</t>
  </si>
  <si>
    <t>$Cool_{Tout}$</t>
  </si>
  <si>
    <t>Cool_Qmax</t>
  </si>
  <si>
    <t>$Cool_{Qmax}$</t>
  </si>
  <si>
    <t>Tdrybulb</t>
  </si>
  <si>
    <t>$T_{drybulb}$</t>
  </si>
  <si>
    <t>RelatHum</t>
  </si>
  <si>
    <t>Relative humidity</t>
  </si>
  <si>
    <t>%</t>
  </si>
  <si>
    <t>$RelatHum$</t>
  </si>
  <si>
    <t>Twetbulb</t>
  </si>
  <si>
    <t>$T_{wetbulb}$</t>
  </si>
  <si>
    <t>check the Twet bulb for each application</t>
  </si>
  <si>
    <t>Cool_Elec</t>
  </si>
  <si>
    <t>kWel/kWth</t>
  </si>
  <si>
    <t>$Cool_{Elec}$</t>
  </si>
  <si>
    <t>dtmin_gas</t>
  </si>
  <si>
    <t>$\Delta t_{min,\,gas}$</t>
  </si>
  <si>
    <t>dtmin_liq</t>
  </si>
  <si>
    <t>$\Delta t_{min,\,liq}$</t>
  </si>
  <si>
    <t>dtmin_2ph</t>
  </si>
  <si>
    <t>$\Delta t_{min,\,2ph}$</t>
  </si>
  <si>
    <t>n</t>
  </si>
  <si>
    <t>$n$</t>
  </si>
  <si>
    <t>i</t>
  </si>
  <si>
    <t>Interest rate</t>
  </si>
  <si>
    <t>$i$</t>
  </si>
  <si>
    <t>CEPCI_2020</t>
  </si>
  <si>
    <t>Actual CEPCI</t>
  </si>
  <si>
    <t>$CEPCI_{2020}$</t>
  </si>
  <si>
    <t>CEPCI_2008</t>
  </si>
  <si>
    <t>CEPCI 2008</t>
  </si>
  <si>
    <t>$CEPCI_{2008}$</t>
  </si>
  <si>
    <t>E_ref_CT</t>
  </si>
  <si>
    <t>$E_{ref,\,CT}$</t>
  </si>
  <si>
    <t>approach</t>
  </si>
  <si>
    <t>$approach$</t>
  </si>
  <si>
    <t>water_flow</t>
  </si>
  <si>
    <t>Water flow rate</t>
  </si>
  <si>
    <t>t/h</t>
  </si>
  <si>
    <t>$\dot{m}_{water}$</t>
  </si>
  <si>
    <t>water_vflow</t>
  </si>
  <si>
    <t>Water volume flow rate for 1t/m3</t>
  </si>
  <si>
    <t>$\dot{V}_{water}$</t>
  </si>
  <si>
    <t>watermu_CT</t>
  </si>
  <si>
    <t>Makeup water in the CT system</t>
  </si>
  <si>
    <t>m3/h</t>
  </si>
  <si>
    <t>$\mu_{water,\,CT}$</t>
  </si>
  <si>
    <t>Annuity</t>
  </si>
  <si>
    <t>$Annuity$</t>
  </si>
  <si>
    <t>CTCost</t>
  </si>
  <si>
    <t>Eur</t>
  </si>
  <si>
    <t>$C_{T,\,cost}$</t>
  </si>
  <si>
    <t>Cinv2_CT</t>
  </si>
  <si>
    <t>Eur/y</t>
  </si>
  <si>
    <t>$C_{inv2,\,CT}$</t>
  </si>
  <si>
    <t> Cooling tower reference heat load</t>
  </si>
  <si>
    <t>Dry bulb temperature</t>
  </si>
  <si>
    <t>Wet bulb temperature</t>
  </si>
  <si>
    <t>CoolingTower</t>
  </si>
  <si>
    <t>MASSFRAC:H20[1]</t>
  </si>
  <si>
    <t>Electricity input</t>
  </si>
  <si>
    <t>Water input</t>
  </si>
  <si>
    <t>There is one heat stream that carries away the waste heat produced during operation</t>
  </si>
  <si>
    <t>Cooling tower heat</t>
  </si>
  <si>
    <t>MARLEY, Cooling Tower energy and its management</t>
  </si>
  <si>
    <t>Electricity consumption</t>
  </si>
  <si>
    <t>Temperature range</t>
  </si>
  <si>
    <t>Difference between return and supply temperature</t>
  </si>
  <si>
    <t>Approach temperature</t>
  </si>
  <si>
    <t>range</t>
  </si>
  <si>
    <t>Cooling electricity per thermal power</t>
  </si>
  <si>
    <t>Electricity power input per thermal power output. Energy for 400 tons - 30kW</t>
  </si>
  <si>
    <t>Delta Tmin for gas phase</t>
  </si>
  <si>
    <t>Delta Tmin for liquid cooling water</t>
  </si>
  <si>
    <t>Delta Tmin for 2 phases fluid</t>
  </si>
  <si>
    <t>Total investment cost</t>
  </si>
  <si>
    <t>Annualized investment cost</t>
  </si>
  <si>
    <t>Makeup water</t>
  </si>
  <si>
    <t>Grey box</t>
  </si>
  <si>
    <t>100000 kW of cooling</t>
  </si>
  <si>
    <t xml:space="preserve">Cold utility, Cooling water, Electricity, Evaporation </t>
  </si>
  <si>
    <t>NA</t>
  </si>
  <si>
    <t>https://www.sciencedirect.com/science/article/pii/S0959652619335176</t>
  </si>
  <si>
    <t>CoolingTower\Figures\CoolTower.svg</t>
  </si>
  <si>
    <t>DECISION</t>
  </si>
  <si>
    <t>cp_water</t>
  </si>
  <si>
    <t xml:space="preserve">Cooling tower return water  temperature </t>
  </si>
  <si>
    <t xml:space="preserve">Cooling tower supply water temperature </t>
  </si>
  <si>
    <t>$cp_{water}$</t>
  </si>
  <si>
    <t>Heat capacity of water at 25°C</t>
  </si>
  <si>
    <t>Minimal temperature difference in a heat exchanger operating with gas</t>
  </si>
  <si>
    <t>Minimal temperature difference in a heat exchanger operating with liquid</t>
  </si>
  <si>
    <t>Minimal temperature difference in a heat exchanger operating with two phase mixture</t>
  </si>
  <si>
    <t>Lifetime of the cooling tower</t>
  </si>
  <si>
    <t>CEPCI for the reference year (2008)</t>
  </si>
  <si>
    <t>Electricity consumption of the cooling tower</t>
  </si>
  <si>
    <t>Water flow rate in ton per hour</t>
  </si>
  <si>
    <t>Water volumetric flow rate</t>
  </si>
  <si>
    <t>Makeup water volumetric flow rate</t>
  </si>
  <si>
    <t>Annualization factor</t>
  </si>
  <si>
    <t>Heat capacity water</t>
  </si>
  <si>
    <t>Cooling tower heat load</t>
  </si>
  <si>
    <t>This unit represents a cooling tower removing 100000 kW of heat via evaporative cooling, supplying water at 13°C.</t>
  </si>
  <si>
    <t>This unit includes an electricity input for auxiliary equipment (fans and pumps) and a water input representing the circulating cooling water to be cooled. The unit outputs heat to the environment via a thermal stream.</t>
  </si>
  <si>
    <t>°C</t>
  </si>
  <si>
    <t>Default</t>
  </si>
  <si>
    <t>Asset</t>
  </si>
  <si>
    <t>Cooling tower</t>
  </si>
  <si>
    <t>@Florez-Orrego et al</t>
  </si>
  <si>
    <t>CoolingUtility</t>
  </si>
  <si>
    <t xml:space="preserve"> </t>
  </si>
  <si>
    <t>A full cooling tower (asset) equipment is required for cost calculation.</t>
  </si>
  <si>
    <t>Check the Tdry bulb for each application</t>
  </si>
  <si>
    <t>Check the relative humidity for each application</t>
  </si>
  <si>
    <t xml:space="preserve">CEPCI (2020) </t>
  </si>
  <si>
    <t>Interest rate of the cooling tower</t>
  </si>
  <si>
    <t>Difference between dry and wet bulb temperature</t>
  </si>
  <si>
    <t>Cool_Elec*Cool_Qmax</t>
  </si>
  <si>
    <t>Cool_Tout-Cool_Tin</t>
  </si>
  <si>
    <t>Cool_Tin-Twetbulb</t>
  </si>
  <si>
    <t>Cool_Qmax/cp_water/range*3600/1000</t>
  </si>
  <si>
    <t>water_flow*1</t>
  </si>
  <si>
    <t>0.00085*1.8*water_vflow*(Cool_Tout-Cool_Tin)</t>
  </si>
  <si>
    <t>(i*(i+1)^n)/((i+1)^n-1)</t>
  </si>
  <si>
    <t>746.49/0.066*(water_flow^0.79)*(range^0.57)*((approach)^(-0.9924))*(0.022*Twetbulb+0.39)^2.447</t>
  </si>
  <si>
    <t>CTCost*(CEPCI_2020/CEPCI_2008)*Annuity</t>
  </si>
  <si>
    <t>$range$</t>
  </si>
  <si>
    <t>1. Overview</t>
  </si>
  <si>
    <t>2. Wet-Bulb Temperature</t>
  </si>
  <si>
    <t>3. Design Constraints</t>
  </si>
  <si>
    <t>4. Key Model Parameters</t>
  </si>
  <si>
    <t>5. References</t>
  </si>
  <si>
    <t>Tdrybulb * ATAN(0.151977 * SQRT(RelatHum+8.313659)) + ATAN(Tdrybulb+RelatHum) - ATAN(RelatHum-1.676331) + 0.00391838 * RelatHum^1.5 * ATAN(0.023101*RelatHum) - 4.686035</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</si>
  <si>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</si>
  <si>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Industrial processes generate large amounts of waste heat from exothermic reactions, combustion chambers, and dissipative components such as intercooled compression systems. When internal heat recovery is not possible, excess heat must be removed using auxiliary fluids. In water-based cooling systems, circulating water collects waste heat from the process and is treated in a cooling tower.</t>
  </si>
  <si>
    <t>The cooling tower is a specialized heat and mass exchange device in which hot circulating water is sprayed and brought into direct contact with fresh air. A small fraction of the water evaporates, lowering the bulk water temperature. The cooled water is then pumped back to the process to absorb heat again, completing the cycle. The tower can achieve temperatures below the dry-bulb air temperature by exploiting the evaporative effect, cooling the water down toward the wet-bulb temperature.</t>
  </si>
  <si>
    <t>CoolTower</t>
  </si>
  <si>
    <t xml:space="preserve">Cooling tower inlet temperature </t>
  </si>
  <si>
    <t xml:space="preserve">Cooling tower outlet temperature </t>
  </si>
  <si>
    <t>.svg</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</si>
  <si>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</si>
  <si>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years</t>
  </si>
  <si>
    <t>EPFL IPESE research group</t>
  </si>
  <si>
    <t>[2]</t>
  </si>
  <si>
    <t>Dry-bulb temperature of the ambient air at the site, at design conditions</t>
  </si>
  <si>
    <t>Relative humidity of the ambient air at the site, at design conditions</t>
  </si>
  <si>
    <t>Wet-bulb temperature of the ambient air, calculated from the dry-bulb temperature and the relative humidity with the formula of Stull (2011)</t>
  </si>
  <si>
    <t>Stull (2011) apud ECOS2015, Florez-Orrego, et al.</t>
  </si>
  <si>
    <t>Difference between the cold-water supply temperature and the ambient wet-bulb temperature</t>
  </si>
  <si>
    <t>This unit represents a cooling tower removing 100000 kW of heat via evaporative cooling, supplying water at 16.32 °C, 4 K above the ambient wet-bulb temperature.</t>
  </si>
  <si>
    <t>Cold</t>
  </si>
  <si>
    <t>21.10.2026</t>
  </si>
  <si>
    <t>1.0.2</t>
  </si>
  <si>
    <t>[1] Int. J. Environ. Sci. Tech., 5 (2), 251-262, Spring 2008;
[2] ECOS2015, Florez-Orrego, et al;
[3] Stull, Wet-Bulb Temperature from Relative Humidity and Air Temperature, 2011, DOI: https://doi.org/10.1175/JAMC-D-11-0143.1;
[4] Perry Chemical Engineers Handbook;
[5] https://spxcooling.com/coolingtowers;
[6] MARLEY, Cooling Tower energy and its management</t>
  </si>
  <si>
    <t>[1] Int. J. Environ. Sci. Tech., 5 (2), 251-262, Spring 2008
[2] ECOS2015, Florez-Orrego, et al
[3] Stull, Wet-Bulb Temperature from Relative Humidity and Air Temperature, 2011, DOI: https://doi.org/10.1175/JAMC-D-11-0143.1
[4] Perry Chemical Engineers Handbook
[5] https://spxcooling.com/coolingtowers
[6] MARLEY, Cooling Tower energy and its management</t>
  </si>
  <si>
    <t>Daniel Florez-Orrego</t>
  </si>
  <si>
    <t>Approach set to 4 K (supply 16.32 °C), approach bounds 0-35 K, heat stream type Cold, H2O composition, equipment units, descriptions and references of Tdrybulb, RelatHum, Twetbulb and approach</t>
  </si>
  <si>
    <t>Approach set to 4 K (supply 16.32 °C), approach bounds 0-35 K, heat stream type Cold, H2O composition, equipment units, descriptions and references of Tdrybulb, RelatHum, Twetbulb and approach; references by Daniel Florez-Orrego instead of the research group; Lua model and Word documentation aligned with this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</si>
</sst>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b/>
      <sz val="11"/>
      <color rgb="FFFF0000"/>
      <name val="Calibri"/>
      <family val="2"/>
    </font>
    <font>
      <b/>
      <sz val="11"/>
      <color rgb="FF000000"/>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rgb="FFBDD6EE"/>
        <bgColor indexed="64"/>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s>
  <borders count="90">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D9D9D9"/>
      </left>
      <right style="thin">
        <color rgb="FFD9D9D9"/>
      </right>
      <top style="thin">
        <color rgb="FFD9D9D9"/>
      </top>
      <bottom style="thin">
        <color rgb="FFD9D9D9"/>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style="thin">
        <color rgb="FFD9D9D9"/>
      </right>
      <top style="medium">
        <color indexed="64"/>
      </top>
      <bottom style="thin">
        <color rgb="FFD9D9D9"/>
      </bottom>
      <diagonal/>
    </border>
    <border>
      <left style="thin">
        <color rgb="FFD9D9D9"/>
      </left>
      <right style="thin">
        <color rgb="FFD9D9D9"/>
      </right>
      <top style="medium">
        <color indexed="64"/>
      </top>
      <bottom style="thin">
        <color rgb="FFD9D9D9"/>
      </bottom>
      <diagonal/>
    </border>
    <border>
      <left style="thin">
        <color rgb="FFD9D9D9"/>
      </left>
      <right style="medium">
        <color indexed="64"/>
      </right>
      <top style="medium">
        <color indexed="64"/>
      </top>
      <bottom style="thin">
        <color rgb="FFD9D9D9"/>
      </bottom>
      <diagonal/>
    </border>
    <border>
      <left style="medium">
        <color indexed="64"/>
      </left>
      <right style="thin">
        <color rgb="FFD9D9D9"/>
      </right>
      <top style="thin">
        <color rgb="FFD9D9D9"/>
      </top>
      <bottom style="thin">
        <color rgb="FFD9D9D9"/>
      </bottom>
      <diagonal/>
    </border>
    <border>
      <left style="thin">
        <color rgb="FFD9D9D9"/>
      </left>
      <right style="medium">
        <color indexed="64"/>
      </right>
      <top style="thin">
        <color rgb="FFD9D9D9"/>
      </top>
      <bottom style="thin">
        <color rgb="FFD9D9D9"/>
      </bottom>
      <diagonal/>
    </border>
    <border>
      <left style="medium">
        <color indexed="64"/>
      </left>
      <right/>
      <top/>
      <bottom/>
      <diagonal/>
    </border>
    <border>
      <left/>
      <right style="medium">
        <color indexed="64"/>
      </right>
      <top/>
      <bottom/>
      <diagonal/>
    </border>
    <border>
      <left style="medium">
        <color indexed="64"/>
      </left>
      <right style="thin">
        <color rgb="FFD9D9D9"/>
      </right>
      <top style="thin">
        <color rgb="FFD9D9D9"/>
      </top>
      <bottom style="medium">
        <color indexed="64"/>
      </bottom>
      <diagonal/>
    </border>
    <border>
      <left style="thin">
        <color rgb="FFD9D9D9"/>
      </left>
      <right style="thin">
        <color rgb="FFD9D9D9"/>
      </right>
      <top style="thin">
        <color rgb="FFD9D9D9"/>
      </top>
      <bottom style="medium">
        <color indexed="64"/>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indexed="64"/>
      </top>
      <bottom/>
      <diagonal/>
    </border>
    <border>
      <left style="thin">
        <color rgb="FFD9D9D9"/>
      </left>
      <right style="thin">
        <color rgb="FFD9D9D9"/>
      </right>
      <top style="medium">
        <color indexed="64"/>
      </top>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thin">
        <color rgb="FFD9D9D9"/>
      </left>
      <right style="medium">
        <color theme="1"/>
      </right>
      <top style="thin">
        <color rgb="FFD9D9D9"/>
      </top>
      <bottom style="thin">
        <color rgb="FFD9D9D9"/>
      </bottom>
      <diagonal/>
    </border>
    <border>
      <left style="thin">
        <color rgb="FFD9D9D9"/>
      </left>
      <right style="medium">
        <color theme="1"/>
      </right>
      <top style="thin">
        <color rgb="FFD9D9D9"/>
      </top>
      <bottom style="medium">
        <color indexed="64"/>
      </bottom>
      <diagonal/>
    </border>
    <border>
      <left style="thin">
        <color rgb="FFFFFFFF"/>
      </left>
      <right/>
      <top/>
      <bottom style="thin">
        <color rgb="FFFFFFFF"/>
      </bottom>
      <diagonal/>
    </border>
    <border>
      <left style="medium">
        <color rgb="FFFFFFFF"/>
      </left>
      <right/>
      <top/>
      <bottom style="medium">
        <color rgb="FFFFFFFF"/>
      </bottom>
      <diagonal/>
    </border>
    <border>
      <left/>
      <right style="thin">
        <color rgb="FFFFFFFF"/>
      </right>
      <top/>
      <bottom style="thin">
        <color rgb="FFFFFFFF"/>
      </bottom>
      <diagonal/>
    </border>
    <border>
      <left style="medium">
        <color indexed="64"/>
      </left>
      <right style="medium">
        <color theme="0"/>
      </right>
      <top style="medium">
        <color indexed="64"/>
      </top>
      <bottom/>
      <diagonal/>
    </border>
    <border>
      <left style="medium">
        <color theme="0"/>
      </left>
      <right style="medium">
        <color theme="0"/>
      </right>
      <top style="medium">
        <color indexed="64"/>
      </top>
      <bottom/>
      <diagonal/>
    </border>
    <border>
      <left/>
      <right style="medium">
        <color theme="0"/>
      </right>
      <top style="medium">
        <color indexed="64"/>
      </top>
      <bottom/>
      <diagonal/>
    </border>
    <border>
      <left/>
      <right/>
      <top style="thin">
        <color theme="2"/>
      </top>
      <bottom style="thin">
        <color theme="2"/>
      </bottom>
      <diagonal/>
    </border>
    <border>
      <left style="thick">
        <color rgb="FF000000"/>
      </left>
      <right style="thick">
        <color rgb="FF000000"/>
      </right>
      <top style="thick">
        <color rgb="FF000000"/>
      </top>
      <bottom style="thick">
        <color rgb="FF000000"/>
      </bottom>
      <diagonal/>
    </border>
  </borders>
  <cellStyleXfs count="2">
    <xf numFmtId="0" fontId="0" fillId="0" borderId="0"/>
    <xf numFmtId="0" fontId="5" fillId="0" borderId="45"/>
  </cellStyleXfs>
  <cellXfs count="261">
    <xf numFmtId="0" fontId="0" fillId="0" borderId="0" xfId="0"/>
    <xf numFmtId="0" fontId="17" fillId="3" borderId="4" xfId="0" applyFont="1" applyFill="1" applyBorder="1" applyAlignment="1">
      <alignment horizontal="center" vertical="center"/>
    </xf>
    <xf numFmtId="0" fontId="17" fillId="3" borderId="5" xfId="0" applyFont="1" applyFill="1" applyBorder="1" applyAlignment="1">
      <alignment horizontal="left" vertical="center"/>
    </xf>
    <xf numFmtId="0" fontId="17" fillId="3" borderId="7" xfId="0" applyFont="1" applyFill="1" applyBorder="1"/>
    <xf numFmtId="0" fontId="17" fillId="3" borderId="3" xfId="0" applyFont="1" applyFill="1" applyBorder="1"/>
    <xf numFmtId="0" fontId="14" fillId="0" borderId="8" xfId="0" applyFont="1" applyBorder="1"/>
    <xf numFmtId="0" fontId="14" fillId="4" borderId="8" xfId="0" applyFont="1" applyFill="1" applyBorder="1"/>
    <xf numFmtId="0" fontId="16" fillId="4" borderId="8" xfId="0" applyFont="1" applyFill="1" applyBorder="1" applyAlignment="1">
      <alignment horizontal="center"/>
    </xf>
    <xf numFmtId="0" fontId="14" fillId="0" borderId="13" xfId="0" applyFont="1" applyBorder="1"/>
    <xf numFmtId="0" fontId="17" fillId="3" borderId="14" xfId="0" applyFont="1" applyFill="1" applyBorder="1"/>
    <xf numFmtId="0" fontId="17" fillId="3" borderId="15" xfId="0" applyFont="1" applyFill="1" applyBorder="1"/>
    <xf numFmtId="0" fontId="15" fillId="0" borderId="17" xfId="0" applyFont="1" applyBorder="1"/>
    <xf numFmtId="0" fontId="14" fillId="0" borderId="17" xfId="0" applyFont="1" applyBorder="1"/>
    <xf numFmtId="0" fontId="17" fillId="3" borderId="18" xfId="0" applyFont="1" applyFill="1" applyBorder="1"/>
    <xf numFmtId="0" fontId="17" fillId="4" borderId="19" xfId="0" applyFont="1" applyFill="1" applyBorder="1"/>
    <xf numFmtId="0" fontId="18" fillId="4" borderId="1" xfId="0" applyFont="1" applyFill="1" applyBorder="1" applyAlignment="1">
      <alignment horizontal="left"/>
    </xf>
    <xf numFmtId="0" fontId="17" fillId="4" borderId="1" xfId="0" applyFont="1" applyFill="1" applyBorder="1" applyAlignment="1">
      <alignment horizontal="left"/>
    </xf>
    <xf numFmtId="0" fontId="14" fillId="4" borderId="1" xfId="0" applyFont="1" applyFill="1" applyBorder="1" applyAlignment="1">
      <alignment horizontal="left"/>
    </xf>
    <xf numFmtId="0" fontId="17" fillId="4" borderId="29" xfId="0" applyFont="1" applyFill="1" applyBorder="1" applyAlignment="1">
      <alignment horizontal="center"/>
    </xf>
    <xf numFmtId="0" fontId="17" fillId="4" borderId="24" xfId="0" applyFont="1" applyFill="1" applyBorder="1" applyAlignment="1">
      <alignment horizontal="center"/>
    </xf>
    <xf numFmtId="0" fontId="17" fillId="4" borderId="30" xfId="0" applyFont="1" applyFill="1" applyBorder="1" applyAlignment="1">
      <alignment horizontal="center"/>
    </xf>
    <xf numFmtId="0" fontId="17" fillId="4" borderId="19" xfId="0" applyFont="1" applyFill="1" applyBorder="1" applyAlignment="1">
      <alignment horizontal="center"/>
    </xf>
    <xf numFmtId="0" fontId="18" fillId="4" borderId="20" xfId="0" applyFont="1" applyFill="1" applyBorder="1" applyAlignment="1">
      <alignment horizontal="left"/>
    </xf>
    <xf numFmtId="0" fontId="17" fillId="4" borderId="8" xfId="0" applyFont="1" applyFill="1" applyBorder="1" applyAlignment="1">
      <alignment horizontal="center"/>
    </xf>
    <xf numFmtId="0" fontId="16" fillId="4" borderId="19" xfId="0" applyFont="1" applyFill="1" applyBorder="1" applyAlignment="1">
      <alignment horizontal="center" vertical="center" wrapText="1"/>
    </xf>
    <xf numFmtId="0" fontId="17" fillId="3" borderId="8" xfId="0" applyFont="1" applyFill="1" applyBorder="1" applyAlignment="1">
      <alignment horizontal="center"/>
    </xf>
    <xf numFmtId="0" fontId="18" fillId="3" borderId="8" xfId="0" applyFont="1" applyFill="1" applyBorder="1" applyAlignment="1">
      <alignment horizontal="left"/>
    </xf>
    <xf numFmtId="0" fontId="16" fillId="4" borderId="0" xfId="0" applyFont="1" applyFill="1" applyAlignment="1">
      <alignment horizontal="center"/>
    </xf>
    <xf numFmtId="0" fontId="17" fillId="3" borderId="6" xfId="0" applyFont="1" applyFill="1" applyBorder="1" applyAlignment="1">
      <alignment horizontal="center"/>
    </xf>
    <xf numFmtId="0" fontId="18" fillId="3" borderId="6" xfId="0" applyFont="1" applyFill="1" applyBorder="1" applyAlignment="1">
      <alignment horizontal="left"/>
    </xf>
    <xf numFmtId="0" fontId="17" fillId="3" borderId="5" xfId="0" applyFont="1" applyFill="1" applyBorder="1" applyAlignment="1">
      <alignment horizontal="center"/>
    </xf>
    <xf numFmtId="0" fontId="17" fillId="3" borderId="4" xfId="0" applyFont="1" applyFill="1" applyBorder="1" applyAlignment="1">
      <alignment horizontal="center"/>
    </xf>
    <xf numFmtId="0" fontId="18" fillId="3" borderId="34" xfId="0" quotePrefix="1" applyFont="1" applyFill="1" applyBorder="1" applyAlignment="1">
      <alignment horizontal="left"/>
    </xf>
    <xf numFmtId="0" fontId="17" fillId="3" borderId="34" xfId="0" applyFont="1" applyFill="1" applyBorder="1" applyAlignment="1">
      <alignment horizontal="center"/>
    </xf>
    <xf numFmtId="0" fontId="17" fillId="3" borderId="3" xfId="0" applyFont="1" applyFill="1" applyBorder="1" applyAlignment="1">
      <alignment horizontal="center"/>
    </xf>
    <xf numFmtId="0" fontId="18" fillId="3" borderId="3" xfId="0" applyFont="1" applyFill="1" applyBorder="1" applyAlignment="1">
      <alignment horizontal="left"/>
    </xf>
    <xf numFmtId="0" fontId="18" fillId="3" borderId="24" xfId="0" applyFont="1" applyFill="1" applyBorder="1" applyAlignment="1">
      <alignment horizontal="left" vertical="center"/>
    </xf>
    <xf numFmtId="0" fontId="17" fillId="3" borderId="24" xfId="0" applyFont="1" applyFill="1" applyBorder="1" applyAlignment="1">
      <alignment horizontal="center"/>
    </xf>
    <xf numFmtId="0" fontId="18" fillId="3" borderId="8" xfId="0" quotePrefix="1" applyFont="1" applyFill="1" applyBorder="1" applyAlignment="1">
      <alignment horizontal="left"/>
    </xf>
    <xf numFmtId="0" fontId="18" fillId="3" borderId="14" xfId="0" applyFont="1" applyFill="1" applyBorder="1" applyAlignment="1">
      <alignment horizontal="left" vertical="center"/>
    </xf>
    <xf numFmtId="0" fontId="18" fillId="3" borderId="15" xfId="0" applyFont="1" applyFill="1" applyBorder="1" applyAlignment="1">
      <alignment horizontal="left"/>
    </xf>
    <xf numFmtId="0" fontId="17" fillId="3" borderId="15" xfId="0" applyFont="1" applyFill="1" applyBorder="1" applyAlignment="1">
      <alignment horizontal="center"/>
    </xf>
    <xf numFmtId="0" fontId="17" fillId="3" borderId="15" xfId="0" applyFont="1" applyFill="1" applyBorder="1" applyAlignment="1">
      <alignment horizontal="left"/>
    </xf>
    <xf numFmtId="0" fontId="17" fillId="3" borderId="8" xfId="0" applyFont="1" applyFill="1" applyBorder="1" applyAlignment="1">
      <alignment horizontal="center" vertical="center"/>
    </xf>
    <xf numFmtId="0" fontId="14" fillId="0" borderId="24" xfId="0" applyFont="1" applyBorder="1"/>
    <xf numFmtId="0" fontId="17" fillId="3" borderId="20" xfId="0" applyFont="1" applyFill="1" applyBorder="1" applyAlignment="1">
      <alignment horizontal="center" vertical="center"/>
    </xf>
    <xf numFmtId="0" fontId="17" fillId="3" borderId="38" xfId="0" applyFont="1" applyFill="1" applyBorder="1" applyAlignment="1">
      <alignment horizontal="center"/>
    </xf>
    <xf numFmtId="0" fontId="18" fillId="3" borderId="5" xfId="0" quotePrefix="1" applyFont="1" applyFill="1" applyBorder="1" applyAlignment="1">
      <alignment horizontal="left"/>
    </xf>
    <xf numFmtId="0" fontId="17" fillId="3" borderId="22" xfId="0" applyFont="1" applyFill="1" applyBorder="1" applyAlignment="1">
      <alignment horizontal="center"/>
    </xf>
    <xf numFmtId="0" fontId="17" fillId="3" borderId="23" xfId="0" applyFont="1" applyFill="1" applyBorder="1" applyAlignment="1">
      <alignment horizontal="center"/>
    </xf>
    <xf numFmtId="0" fontId="18" fillId="3" borderId="14" xfId="0" quotePrefix="1" applyFont="1" applyFill="1" applyBorder="1" applyAlignment="1">
      <alignment horizontal="left"/>
    </xf>
    <xf numFmtId="0" fontId="17" fillId="4" borderId="4" xfId="0" applyFont="1" applyFill="1" applyBorder="1" applyAlignment="1">
      <alignment horizontal="center"/>
    </xf>
    <xf numFmtId="0" fontId="17" fillId="4" borderId="5" xfId="0" applyFont="1" applyFill="1" applyBorder="1" applyAlignment="1">
      <alignment horizontal="center"/>
    </xf>
    <xf numFmtId="0" fontId="17" fillId="4" borderId="3" xfId="0" applyFont="1" applyFill="1" applyBorder="1" applyAlignment="1">
      <alignment horizontal="center"/>
    </xf>
    <xf numFmtId="0" fontId="17" fillId="4" borderId="38" xfId="0" applyFont="1" applyFill="1" applyBorder="1" applyAlignment="1">
      <alignment horizontal="center"/>
    </xf>
    <xf numFmtId="0" fontId="17" fillId="4" borderId="13" xfId="0" applyFont="1" applyFill="1" applyBorder="1" applyAlignment="1">
      <alignment horizontal="center" vertical="center"/>
    </xf>
    <xf numFmtId="0" fontId="17" fillId="4" borderId="16" xfId="0" applyFont="1" applyFill="1" applyBorder="1" applyAlignment="1">
      <alignment horizontal="center" vertical="center"/>
    </xf>
    <xf numFmtId="0" fontId="17" fillId="4" borderId="24" xfId="0" applyFont="1" applyFill="1" applyBorder="1" applyAlignment="1">
      <alignment horizontal="center" vertical="center"/>
    </xf>
    <xf numFmtId="0" fontId="18" fillId="4" borderId="0" xfId="0" applyFont="1" applyFill="1" applyAlignment="1">
      <alignment horizontal="left"/>
    </xf>
    <xf numFmtId="0" fontId="17" fillId="4" borderId="0" xfId="0" applyFont="1" applyFill="1" applyAlignment="1">
      <alignment horizontal="center"/>
    </xf>
    <xf numFmtId="0" fontId="17" fillId="4" borderId="6" xfId="0" applyFont="1" applyFill="1" applyBorder="1" applyAlignment="1">
      <alignment horizontal="center"/>
    </xf>
    <xf numFmtId="0" fontId="17" fillId="4" borderId="35" xfId="0" applyFont="1" applyFill="1" applyBorder="1" applyAlignment="1">
      <alignment horizontal="center"/>
    </xf>
    <xf numFmtId="0" fontId="17" fillId="4" borderId="46" xfId="0" applyFont="1" applyFill="1" applyBorder="1" applyAlignment="1">
      <alignment horizontal="center"/>
    </xf>
    <xf numFmtId="0" fontId="0" fillId="6" borderId="0" xfId="0" applyFill="1"/>
    <xf numFmtId="0" fontId="13" fillId="0" borderId="1" xfId="0" applyFont="1" applyBorder="1" applyAlignment="1">
      <alignment horizontal="left" vertical="top"/>
    </xf>
    <xf numFmtId="0" fontId="17" fillId="3" borderId="45" xfId="0" applyFont="1" applyFill="1" applyBorder="1" applyAlignment="1">
      <alignment horizontal="left" vertical="center"/>
    </xf>
    <xf numFmtId="0" fontId="0" fillId="8" borderId="0" xfId="0" applyFill="1"/>
    <xf numFmtId="0" fontId="16" fillId="4" borderId="19" xfId="0" applyFont="1" applyFill="1" applyBorder="1" applyAlignment="1">
      <alignment horizontal="center" vertical="center"/>
    </xf>
    <xf numFmtId="2" fontId="14" fillId="4" borderId="8" xfId="0" applyNumberFormat="1" applyFont="1" applyFill="1" applyBorder="1"/>
    <xf numFmtId="0" fontId="16" fillId="2" borderId="25" xfId="0" applyFont="1" applyFill="1" applyBorder="1" applyAlignment="1">
      <alignment horizontal="left" vertical="top"/>
    </xf>
    <xf numFmtId="0" fontId="16" fillId="2" borderId="26" xfId="0" applyFont="1" applyFill="1" applyBorder="1" applyAlignment="1">
      <alignment horizontal="left" vertical="top"/>
    </xf>
    <xf numFmtId="0" fontId="16" fillId="2" borderId="36" xfId="0" applyFont="1" applyFill="1" applyBorder="1" applyAlignment="1">
      <alignment horizontal="left" vertical="top"/>
    </xf>
    <xf numFmtId="0" fontId="16" fillId="2" borderId="37" xfId="0" applyFont="1" applyFill="1" applyBorder="1" applyAlignment="1">
      <alignment horizontal="left" vertical="top"/>
    </xf>
    <xf numFmtId="0" fontId="16" fillId="2" borderId="40" xfId="0" applyFont="1" applyFill="1" applyBorder="1" applyAlignment="1">
      <alignment horizontal="left" vertical="top"/>
    </xf>
    <xf numFmtId="0" fontId="17" fillId="3" borderId="31" xfId="0" applyFont="1" applyFill="1" applyBorder="1" applyAlignment="1">
      <alignment horizontal="right"/>
    </xf>
    <xf numFmtId="0" fontId="16" fillId="2" borderId="39" xfId="0" applyFont="1" applyFill="1" applyBorder="1" applyAlignment="1">
      <alignment horizontal="left" vertical="top"/>
    </xf>
    <xf numFmtId="0" fontId="17" fillId="2" borderId="40" xfId="0" applyFont="1" applyFill="1" applyBorder="1" applyAlignment="1">
      <alignment horizontal="left" vertical="top"/>
    </xf>
    <xf numFmtId="0" fontId="17" fillId="2" borderId="41" xfId="0" applyFont="1" applyFill="1" applyBorder="1" applyAlignment="1">
      <alignment horizontal="left" vertical="top"/>
    </xf>
    <xf numFmtId="0" fontId="16" fillId="2" borderId="9" xfId="0" applyFont="1" applyFill="1" applyBorder="1" applyAlignment="1">
      <alignment horizontal="left" vertical="top"/>
    </xf>
    <xf numFmtId="0" fontId="16" fillId="2" borderId="10" xfId="0" applyFont="1" applyFill="1" applyBorder="1" applyAlignment="1">
      <alignment horizontal="left" vertical="top"/>
    </xf>
    <xf numFmtId="0" fontId="16" fillId="2" borderId="42" xfId="0" applyFont="1" applyFill="1" applyBorder="1" applyAlignment="1">
      <alignment horizontal="left" vertical="top"/>
    </xf>
    <xf numFmtId="14" fontId="0" fillId="8" borderId="50" xfId="0" applyNumberFormat="1" applyFill="1" applyBorder="1"/>
    <xf numFmtId="0" fontId="12" fillId="8" borderId="51" xfId="0" applyFont="1" applyFill="1" applyBorder="1"/>
    <xf numFmtId="0" fontId="17" fillId="2" borderId="39" xfId="0" applyFont="1" applyFill="1" applyBorder="1" applyAlignment="1">
      <alignment horizontal="left" vertical="top"/>
    </xf>
    <xf numFmtId="0" fontId="16" fillId="2" borderId="41" xfId="0" applyFont="1" applyFill="1" applyBorder="1" applyAlignment="1">
      <alignment horizontal="left" vertical="top"/>
    </xf>
    <xf numFmtId="0" fontId="12" fillId="8" borderId="50" xfId="0" applyFont="1" applyFill="1" applyBorder="1" applyAlignment="1">
      <alignment horizontal="right"/>
    </xf>
    <xf numFmtId="0" fontId="0" fillId="8" borderId="48" xfId="0" applyFill="1" applyBorder="1" applyAlignment="1">
      <alignment horizontal="right"/>
    </xf>
    <xf numFmtId="14" fontId="0" fillId="8" borderId="49" xfId="0" applyNumberFormat="1" applyFill="1" applyBorder="1" applyAlignment="1">
      <alignment horizontal="right"/>
    </xf>
    <xf numFmtId="0" fontId="16" fillId="2" borderId="52" xfId="0" applyFont="1" applyFill="1" applyBorder="1" applyAlignment="1">
      <alignment horizontal="left" vertical="top"/>
    </xf>
    <xf numFmtId="0" fontId="17" fillId="9" borderId="53" xfId="0" applyFont="1" applyFill="1" applyBorder="1" applyAlignment="1">
      <alignment vertical="top" wrapText="1"/>
    </xf>
    <xf numFmtId="0" fontId="16" fillId="2" borderId="54" xfId="0" applyFont="1" applyFill="1" applyBorder="1" applyAlignment="1">
      <alignment horizontal="left" vertical="top"/>
    </xf>
    <xf numFmtId="0" fontId="17" fillId="9" borderId="53" xfId="0" applyFont="1" applyFill="1" applyBorder="1" applyAlignment="1">
      <alignment horizontal="left" vertical="top" wrapText="1"/>
    </xf>
    <xf numFmtId="0" fontId="16" fillId="2" borderId="53" xfId="0" applyFont="1" applyFill="1" applyBorder="1" applyAlignment="1">
      <alignment horizontal="left" vertical="top"/>
    </xf>
    <xf numFmtId="0" fontId="17" fillId="4" borderId="21" xfId="0" applyFont="1" applyFill="1" applyBorder="1" applyAlignment="1">
      <alignment horizontal="center" vertical="center"/>
    </xf>
    <xf numFmtId="0" fontId="17" fillId="4" borderId="28" xfId="0" applyFont="1" applyFill="1" applyBorder="1" applyAlignment="1">
      <alignment horizontal="right"/>
    </xf>
    <xf numFmtId="0" fontId="17" fillId="2" borderId="26" xfId="0" applyFont="1" applyFill="1" applyBorder="1" applyAlignment="1">
      <alignment horizontal="left" vertical="top"/>
    </xf>
    <xf numFmtId="0" fontId="17" fillId="2" borderId="27" xfId="0" applyFont="1" applyFill="1" applyBorder="1" applyAlignment="1">
      <alignment horizontal="left" vertical="top"/>
    </xf>
    <xf numFmtId="0" fontId="17" fillId="2" borderId="11" xfId="0" applyFont="1" applyFill="1" applyBorder="1" applyAlignment="1">
      <alignment horizontal="left" vertical="top"/>
    </xf>
    <xf numFmtId="0" fontId="17" fillId="2" borderId="45" xfId="0" applyFont="1" applyFill="1" applyBorder="1" applyAlignment="1">
      <alignment horizontal="left" vertical="top"/>
    </xf>
    <xf numFmtId="0" fontId="12" fillId="2" borderId="45" xfId="0" applyFont="1" applyFill="1" applyBorder="1" applyAlignment="1">
      <alignment horizontal="left" vertical="top"/>
    </xf>
    <xf numFmtId="0" fontId="17" fillId="2" borderId="12" xfId="0" applyFont="1" applyFill="1" applyBorder="1" applyAlignment="1">
      <alignment horizontal="left" vertical="top"/>
    </xf>
    <xf numFmtId="0" fontId="17" fillId="4" borderId="56" xfId="0" applyFont="1" applyFill="1" applyBorder="1" applyAlignment="1">
      <alignment horizontal="right"/>
    </xf>
    <xf numFmtId="0" fontId="17" fillId="4" borderId="58" xfId="0" applyFont="1" applyFill="1" applyBorder="1" applyAlignment="1">
      <alignment horizontal="right"/>
    </xf>
    <xf numFmtId="0" fontId="17" fillId="4" borderId="62" xfId="0" applyFont="1" applyFill="1" applyBorder="1" applyAlignment="1">
      <alignment horizontal="right"/>
    </xf>
    <xf numFmtId="0" fontId="17" fillId="4" borderId="63" xfId="0" applyFont="1" applyFill="1" applyBorder="1" applyAlignment="1">
      <alignment horizontal="right"/>
    </xf>
    <xf numFmtId="0" fontId="17" fillId="2" borderId="65" xfId="0" applyFont="1" applyFill="1" applyBorder="1" applyAlignment="1">
      <alignment horizontal="left" vertical="top"/>
    </xf>
    <xf numFmtId="0" fontId="17" fillId="2" borderId="66" xfId="0" applyFont="1" applyFill="1" applyBorder="1" applyAlignment="1">
      <alignment horizontal="left" vertical="top"/>
    </xf>
    <xf numFmtId="0" fontId="12" fillId="2" borderId="66" xfId="0" applyFont="1" applyFill="1" applyBorder="1" applyAlignment="1">
      <alignment horizontal="left" vertical="top"/>
    </xf>
    <xf numFmtId="0" fontId="17" fillId="2" borderId="67" xfId="0" applyFont="1" applyFill="1" applyBorder="1" applyAlignment="1">
      <alignment horizontal="left" vertical="top"/>
    </xf>
    <xf numFmtId="0" fontId="16" fillId="2" borderId="68" xfId="0" applyFont="1" applyFill="1" applyBorder="1" applyAlignment="1">
      <alignment horizontal="left" vertical="center"/>
    </xf>
    <xf numFmtId="0" fontId="16" fillId="2" borderId="60" xfId="0" applyFont="1" applyFill="1" applyBorder="1" applyAlignment="1">
      <alignment horizontal="left" vertical="center"/>
    </xf>
    <xf numFmtId="0" fontId="17" fillId="3" borderId="61" xfId="0" applyFont="1" applyFill="1" applyBorder="1" applyAlignment="1">
      <alignment horizontal="right"/>
    </xf>
    <xf numFmtId="164" fontId="17" fillId="3" borderId="61" xfId="0" applyNumberFormat="1" applyFont="1" applyFill="1" applyBorder="1" applyAlignment="1">
      <alignment horizontal="right"/>
    </xf>
    <xf numFmtId="0" fontId="16" fillId="2" borderId="60" xfId="0" applyFont="1" applyFill="1" applyBorder="1" applyAlignment="1">
      <alignment horizontal="left" vertical="center" wrapText="1"/>
    </xf>
    <xf numFmtId="0" fontId="17" fillId="3" borderId="61" xfId="0" applyFont="1" applyFill="1" applyBorder="1" applyAlignment="1">
      <alignment horizontal="right" wrapText="1"/>
    </xf>
    <xf numFmtId="0" fontId="16" fillId="2" borderId="70" xfId="0" applyFont="1" applyFill="1" applyBorder="1" applyAlignment="1">
      <alignment horizontal="left" vertical="center" wrapText="1"/>
    </xf>
    <xf numFmtId="0" fontId="17" fillId="3" borderId="72" xfId="0" applyFont="1" applyFill="1" applyBorder="1" applyAlignment="1">
      <alignment horizontal="right"/>
    </xf>
    <xf numFmtId="0" fontId="16" fillId="2" borderId="65" xfId="0" applyFont="1" applyFill="1" applyBorder="1" applyAlignment="1">
      <alignment vertical="top"/>
    </xf>
    <xf numFmtId="0" fontId="16" fillId="2" borderId="66" xfId="0" applyFont="1" applyFill="1" applyBorder="1" applyAlignment="1">
      <alignment vertical="top"/>
    </xf>
    <xf numFmtId="0" fontId="16" fillId="2" borderId="67" xfId="0" applyFont="1" applyFill="1" applyBorder="1" applyAlignment="1">
      <alignment vertical="top"/>
    </xf>
    <xf numFmtId="0" fontId="16" fillId="2" borderId="64" xfId="0" applyFont="1" applyFill="1" applyBorder="1" applyAlignment="1">
      <alignment horizontal="left" vertical="top"/>
    </xf>
    <xf numFmtId="0" fontId="16" fillId="2" borderId="73" xfId="0" applyFont="1" applyFill="1" applyBorder="1" applyAlignment="1">
      <alignment horizontal="left" vertical="top"/>
    </xf>
    <xf numFmtId="0" fontId="17" fillId="0" borderId="74" xfId="0" applyFont="1" applyBorder="1" applyAlignment="1">
      <alignment horizontal="right"/>
    </xf>
    <xf numFmtId="0" fontId="17" fillId="2" borderId="44" xfId="0" applyFont="1" applyFill="1" applyBorder="1" applyAlignment="1">
      <alignment horizontal="left" vertical="top"/>
    </xf>
    <xf numFmtId="0" fontId="14" fillId="2" borderId="2" xfId="0" applyFont="1" applyFill="1" applyBorder="1" applyAlignment="1">
      <alignment vertical="top"/>
    </xf>
    <xf numFmtId="0" fontId="14" fillId="2" borderId="2" xfId="0" applyFont="1" applyFill="1" applyBorder="1" applyAlignment="1" applyProtection="1">
      <alignment vertical="top"/>
      <protection locked="0"/>
    </xf>
    <xf numFmtId="0" fontId="0" fillId="0" borderId="0" xfId="0" applyProtection="1">
      <protection locked="0"/>
    </xf>
    <xf numFmtId="0" fontId="12" fillId="0" borderId="1"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12" fillId="6" borderId="0" xfId="0" applyFont="1" applyFill="1" applyAlignment="1">
      <alignment horizontal="left" vertical="center"/>
    </xf>
    <xf numFmtId="0" fontId="10" fillId="6" borderId="0" xfId="0" applyFont="1" applyFill="1" applyAlignment="1">
      <alignment horizontal="left" vertical="center"/>
    </xf>
    <xf numFmtId="0" fontId="17" fillId="4" borderId="75" xfId="0" applyFont="1" applyFill="1" applyBorder="1" applyAlignment="1">
      <alignment horizontal="right"/>
    </xf>
    <xf numFmtId="0" fontId="0" fillId="0" borderId="61" xfId="0" applyBorder="1"/>
    <xf numFmtId="0" fontId="17" fillId="0" borderId="68" xfId="0" applyFont="1" applyBorder="1" applyAlignment="1">
      <alignment horizontal="right"/>
    </xf>
    <xf numFmtId="0" fontId="14" fillId="0" borderId="74" xfId="0" applyFont="1" applyBorder="1" applyAlignment="1">
      <alignment horizontal="right"/>
    </xf>
    <xf numFmtId="0" fontId="17" fillId="0" borderId="69" xfId="0" applyFont="1" applyBorder="1" applyAlignment="1">
      <alignment horizontal="right"/>
    </xf>
    <xf numFmtId="0" fontId="14" fillId="0" borderId="70" xfId="0" applyFont="1" applyBorder="1" applyAlignment="1">
      <alignment horizontal="right"/>
    </xf>
    <xf numFmtId="0" fontId="14" fillId="0" borderId="71" xfId="0" applyFont="1" applyBorder="1" applyAlignment="1">
      <alignment horizontal="right"/>
    </xf>
    <xf numFmtId="0" fontId="17" fillId="0" borderId="71" xfId="0" applyFont="1" applyBorder="1" applyAlignment="1">
      <alignment horizontal="right"/>
    </xf>
    <xf numFmtId="0" fontId="17" fillId="2" borderId="43" xfId="0" applyFont="1" applyFill="1" applyBorder="1" applyAlignment="1">
      <alignment horizontal="left" vertical="top"/>
    </xf>
    <xf numFmtId="0" fontId="17" fillId="4" borderId="55" xfId="0" applyFont="1" applyFill="1" applyBorder="1" applyAlignment="1">
      <alignment horizontal="right"/>
    </xf>
    <xf numFmtId="164" fontId="8" fillId="8" borderId="47" xfId="0" applyNumberFormat="1" applyFont="1" applyFill="1" applyBorder="1"/>
    <xf numFmtId="0" fontId="8" fillId="8" borderId="50" xfId="0" applyFont="1" applyFill="1" applyBorder="1"/>
    <xf numFmtId="0" fontId="16" fillId="2" borderId="68" xfId="0" applyFont="1" applyFill="1" applyBorder="1" applyAlignment="1">
      <alignment horizontal="left" vertical="top"/>
    </xf>
    <xf numFmtId="0" fontId="16" fillId="2" borderId="74" xfId="0" applyFont="1" applyFill="1" applyBorder="1" applyAlignment="1">
      <alignment horizontal="left" vertical="top"/>
    </xf>
    <xf numFmtId="0" fontId="16" fillId="2" borderId="69" xfId="0" applyFont="1" applyFill="1" applyBorder="1" applyAlignment="1">
      <alignment horizontal="left" vertical="top"/>
    </xf>
    <xf numFmtId="0" fontId="0" fillId="0" borderId="45" xfId="0" applyBorder="1"/>
    <xf numFmtId="0" fontId="17" fillId="8" borderId="68" xfId="0" applyFont="1" applyFill="1" applyBorder="1" applyAlignment="1">
      <alignment horizontal="right"/>
    </xf>
    <xf numFmtId="0" fontId="17" fillId="8" borderId="74" xfId="0" applyFont="1" applyFill="1" applyBorder="1" applyAlignment="1">
      <alignment horizontal="right"/>
    </xf>
    <xf numFmtId="2" fontId="17" fillId="8" borderId="74" xfId="0" applyNumberFormat="1" applyFont="1" applyFill="1" applyBorder="1" applyAlignment="1">
      <alignment horizontal="right"/>
    </xf>
    <xf numFmtId="0" fontId="17" fillId="8" borderId="70" xfId="0" applyFont="1" applyFill="1" applyBorder="1" applyAlignment="1">
      <alignment horizontal="right"/>
    </xf>
    <xf numFmtId="0" fontId="17" fillId="8" borderId="71" xfId="0" applyFont="1" applyFill="1" applyBorder="1" applyAlignment="1">
      <alignment horizontal="right"/>
    </xf>
    <xf numFmtId="2" fontId="17" fillId="8" borderId="71" xfId="0" applyNumberFormat="1" applyFont="1" applyFill="1" applyBorder="1" applyAlignment="1">
      <alignment horizontal="right"/>
    </xf>
    <xf numFmtId="0" fontId="14" fillId="8" borderId="71" xfId="0" applyFont="1" applyFill="1" applyBorder="1" applyAlignment="1">
      <alignment horizontal="right"/>
    </xf>
    <xf numFmtId="0" fontId="8" fillId="8" borderId="74" xfId="0" applyFont="1" applyFill="1" applyBorder="1" applyAlignment="1">
      <alignment horizontal="right"/>
    </xf>
    <xf numFmtId="0" fontId="8" fillId="8" borderId="71" xfId="0" applyFont="1" applyFill="1" applyBorder="1" applyAlignment="1">
      <alignment horizontal="right"/>
    </xf>
    <xf numFmtId="0" fontId="8" fillId="0" borderId="72" xfId="0" applyFont="1" applyBorder="1" applyAlignment="1">
      <alignment horizontal="right"/>
    </xf>
    <xf numFmtId="0" fontId="17" fillId="2" borderId="76" xfId="0" applyFont="1" applyFill="1" applyBorder="1" applyAlignment="1">
      <alignment horizontal="left" vertical="top"/>
    </xf>
    <xf numFmtId="0" fontId="17" fillId="2" borderId="77" xfId="0" applyFont="1" applyFill="1" applyBorder="1" applyAlignment="1">
      <alignment horizontal="left" vertical="top"/>
    </xf>
    <xf numFmtId="0" fontId="17" fillId="2" borderId="78" xfId="0" applyFont="1" applyFill="1" applyBorder="1" applyAlignment="1">
      <alignment horizontal="left" vertical="top"/>
    </xf>
    <xf numFmtId="0" fontId="17" fillId="2" borderId="79" xfId="0" applyFont="1" applyFill="1" applyBorder="1" applyAlignment="1">
      <alignment horizontal="left" vertical="top"/>
    </xf>
    <xf numFmtId="0" fontId="17" fillId="3" borderId="45" xfId="0" applyFont="1" applyFill="1" applyBorder="1" applyAlignment="1">
      <alignment horizontal="center"/>
    </xf>
    <xf numFmtId="0" fontId="0" fillId="8" borderId="45" xfId="0" applyFill="1" applyBorder="1"/>
    <xf numFmtId="0" fontId="17" fillId="7" borderId="66" xfId="0" applyFont="1" applyFill="1" applyBorder="1" applyAlignment="1">
      <alignment horizontal="right"/>
    </xf>
    <xf numFmtId="164" fontId="17" fillId="7" borderId="66" xfId="0" applyNumberFormat="1" applyFont="1" applyFill="1" applyBorder="1" applyAlignment="1">
      <alignment horizontal="right"/>
    </xf>
    <xf numFmtId="0" fontId="11" fillId="6" borderId="66" xfId="0" applyFont="1" applyFill="1" applyBorder="1" applyAlignment="1">
      <alignment horizontal="right"/>
    </xf>
    <xf numFmtId="2" fontId="17" fillId="7" borderId="66" xfId="0" applyNumberFormat="1" applyFont="1" applyFill="1" applyBorder="1" applyAlignment="1">
      <alignment horizontal="right"/>
    </xf>
    <xf numFmtId="0" fontId="0" fillId="6" borderId="66" xfId="0" applyFill="1" applyBorder="1" applyAlignment="1">
      <alignment horizontal="right"/>
    </xf>
    <xf numFmtId="0" fontId="0" fillId="6" borderId="0" xfId="0" applyFill="1" applyAlignment="1">
      <alignment horizontal="right"/>
    </xf>
    <xf numFmtId="0" fontId="17" fillId="0" borderId="58" xfId="0" applyFont="1" applyBorder="1" applyAlignment="1">
      <alignment horizontal="right"/>
    </xf>
    <xf numFmtId="0" fontId="7" fillId="0" borderId="72" xfId="0" applyFont="1" applyBorder="1" applyAlignment="1">
      <alignment horizontal="right"/>
    </xf>
    <xf numFmtId="0" fontId="7" fillId="0" borderId="65" xfId="0" applyFont="1" applyBorder="1" applyAlignment="1">
      <alignment horizontal="right"/>
    </xf>
    <xf numFmtId="0" fontId="17" fillId="2" borderId="68" xfId="0" applyFont="1" applyFill="1" applyBorder="1" applyAlignment="1">
      <alignment horizontal="left" vertical="top"/>
    </xf>
    <xf numFmtId="0" fontId="17" fillId="2" borderId="74" xfId="0" applyFont="1" applyFill="1" applyBorder="1" applyAlignment="1">
      <alignment horizontal="left" vertical="top"/>
    </xf>
    <xf numFmtId="0" fontId="12" fillId="2" borderId="74" xfId="0" applyFont="1" applyFill="1" applyBorder="1" applyAlignment="1">
      <alignment horizontal="left" vertical="top"/>
    </xf>
    <xf numFmtId="0" fontId="17" fillId="2" borderId="69" xfId="0" applyFont="1" applyFill="1" applyBorder="1" applyAlignment="1">
      <alignment horizontal="left" vertical="top"/>
    </xf>
    <xf numFmtId="0" fontId="7" fillId="0" borderId="66" xfId="0" applyFont="1" applyBorder="1" applyAlignment="1">
      <alignment horizontal="right"/>
    </xf>
    <xf numFmtId="0" fontId="7" fillId="0" borderId="67" xfId="0" applyFont="1" applyBorder="1" applyAlignment="1">
      <alignment horizontal="right"/>
    </xf>
    <xf numFmtId="0" fontId="17" fillId="7" borderId="65" xfId="0" applyFont="1" applyFill="1" applyBorder="1" applyAlignment="1">
      <alignment horizontal="right" vertical="top"/>
    </xf>
    <xf numFmtId="0" fontId="9" fillId="0" borderId="71" xfId="0" applyFont="1" applyBorder="1" applyAlignment="1">
      <alignment horizontal="right"/>
    </xf>
    <xf numFmtId="0" fontId="17" fillId="0" borderId="56" xfId="0" applyFont="1" applyBorder="1" applyAlignment="1">
      <alignment horizontal="right"/>
    </xf>
    <xf numFmtId="0" fontId="17" fillId="0" borderId="28" xfId="0" applyFont="1" applyBorder="1" applyAlignment="1">
      <alignment horizontal="right"/>
    </xf>
    <xf numFmtId="0" fontId="17" fillId="0" borderId="63" xfId="0" applyFont="1" applyBorder="1" applyAlignment="1">
      <alignment horizontal="right"/>
    </xf>
    <xf numFmtId="0" fontId="17" fillId="0" borderId="4" xfId="0" applyFont="1" applyBorder="1" applyAlignment="1">
      <alignment horizontal="center" vertical="center"/>
    </xf>
    <xf numFmtId="0" fontId="17" fillId="3" borderId="45" xfId="0" applyFont="1" applyFill="1" applyBorder="1" applyAlignment="1">
      <alignment horizontal="center" vertical="center"/>
    </xf>
    <xf numFmtId="0" fontId="17" fillId="4" borderId="61" xfId="0" applyFont="1" applyFill="1" applyBorder="1" applyAlignment="1">
      <alignment horizontal="right"/>
    </xf>
    <xf numFmtId="2" fontId="17" fillId="0" borderId="66" xfId="0" applyNumberFormat="1" applyFont="1" applyBorder="1" applyAlignment="1">
      <alignment horizontal="right"/>
    </xf>
    <xf numFmtId="0" fontId="17" fillId="4" borderId="1" xfId="0" applyFont="1" applyFill="1" applyBorder="1"/>
    <xf numFmtId="0" fontId="14" fillId="4" borderId="1" xfId="0" applyFont="1" applyFill="1" applyBorder="1"/>
    <xf numFmtId="0" fontId="10" fillId="4" borderId="1" xfId="0" applyFont="1" applyFill="1" applyBorder="1"/>
    <xf numFmtId="0" fontId="15" fillId="4" borderId="1" xfId="0" applyFont="1" applyFill="1" applyBorder="1"/>
    <xf numFmtId="0" fontId="13" fillId="4" borderId="17" xfId="0" applyFont="1" applyFill="1" applyBorder="1"/>
    <xf numFmtId="0" fontId="14" fillId="4" borderId="17" xfId="0" applyFont="1" applyFill="1" applyBorder="1"/>
    <xf numFmtId="0" fontId="17" fillId="4" borderId="17" xfId="0" applyFont="1" applyFill="1" applyBorder="1"/>
    <xf numFmtId="0" fontId="13" fillId="4" borderId="1" xfId="0" applyFont="1" applyFill="1" applyBorder="1"/>
    <xf numFmtId="0" fontId="17" fillId="0" borderId="57" xfId="0" applyFont="1" applyBorder="1" applyAlignment="1">
      <alignment horizontal="right"/>
    </xf>
    <xf numFmtId="0" fontId="17" fillId="0" borderId="59" xfId="0" applyFont="1" applyBorder="1" applyAlignment="1">
      <alignment horizontal="right"/>
    </xf>
    <xf numFmtId="0" fontId="17" fillId="4" borderId="80" xfId="0" applyFont="1" applyFill="1" applyBorder="1" applyAlignment="1">
      <alignment horizontal="right"/>
    </xf>
    <xf numFmtId="0" fontId="17" fillId="0" borderId="80" xfId="0" applyFont="1" applyBorder="1" applyAlignment="1">
      <alignment horizontal="right"/>
    </xf>
    <xf numFmtId="0" fontId="17" fillId="4" borderId="81" xfId="0" applyFont="1" applyFill="1" applyBorder="1" applyAlignment="1">
      <alignment horizontal="right"/>
    </xf>
    <xf numFmtId="0" fontId="11" fillId="0" borderId="71" xfId="0" applyFont="1" applyBorder="1" applyAlignment="1">
      <alignment horizontal="right"/>
    </xf>
    <xf numFmtId="0" fontId="17" fillId="0" borderId="67" xfId="0" applyFont="1" applyBorder="1" applyAlignment="1">
      <alignment horizontal="right" vertical="top"/>
    </xf>
    <xf numFmtId="0" fontId="17" fillId="0" borderId="53" xfId="0" applyFont="1" applyBorder="1" applyAlignment="1">
      <alignment horizontal="left" vertical="top" wrapText="1"/>
    </xf>
    <xf numFmtId="0" fontId="6" fillId="0" borderId="66" xfId="0" applyFont="1" applyBorder="1" applyAlignment="1">
      <alignment horizontal="right"/>
    </xf>
    <xf numFmtId="0" fontId="17" fillId="0" borderId="53" xfId="0" applyFont="1" applyBorder="1" applyAlignment="1">
      <alignment vertical="top" wrapText="1"/>
    </xf>
    <xf numFmtId="0" fontId="18" fillId="3" borderId="35" xfId="0" applyFont="1" applyFill="1" applyBorder="1" applyAlignment="1">
      <alignment horizontal="left" vertical="center"/>
    </xf>
    <xf numFmtId="0" fontId="0" fillId="0" borderId="53" xfId="0" applyBorder="1" applyAlignment="1">
      <alignment wrapText="1"/>
    </xf>
    <xf numFmtId="0" fontId="17" fillId="3" borderId="32" xfId="0" applyFont="1" applyFill="1" applyBorder="1" applyAlignment="1">
      <alignment horizontal="right"/>
    </xf>
    <xf numFmtId="0" fontId="17" fillId="3" borderId="33" xfId="0" applyFont="1" applyFill="1" applyBorder="1" applyAlignment="1">
      <alignment horizontal="right"/>
    </xf>
    <xf numFmtId="0" fontId="16" fillId="2" borderId="65" xfId="0" applyFont="1" applyFill="1" applyBorder="1" applyAlignment="1">
      <alignment horizontal="left" vertical="top"/>
    </xf>
    <xf numFmtId="0" fontId="16" fillId="2" borderId="66" xfId="0" applyFont="1" applyFill="1" applyBorder="1" applyAlignment="1">
      <alignment horizontal="left" vertical="top" wrapText="1"/>
    </xf>
    <xf numFmtId="0" fontId="16" fillId="2" borderId="67" xfId="0" applyFont="1" applyFill="1" applyBorder="1" applyAlignment="1">
      <alignment horizontal="left" vertical="top" wrapText="1"/>
    </xf>
    <xf numFmtId="0" fontId="5" fillId="8" borderId="71" xfId="0" applyFont="1" applyFill="1" applyBorder="1" applyAlignment="1">
      <alignment horizontal="right"/>
    </xf>
    <xf numFmtId="0" fontId="5" fillId="0" borderId="45" xfId="0" applyFont="1" applyBorder="1"/>
    <xf numFmtId="0" fontId="17" fillId="4" borderId="45" xfId="0" applyFont="1" applyFill="1" applyBorder="1" applyAlignment="1">
      <alignment horizontal="center"/>
    </xf>
    <xf numFmtId="0" fontId="17" fillId="4" borderId="82" xfId="0" applyFont="1" applyFill="1" applyBorder="1" applyAlignment="1">
      <alignment horizontal="center" vertical="center"/>
    </xf>
    <xf numFmtId="0" fontId="17" fillId="4" borderId="83" xfId="0" applyFont="1" applyFill="1" applyBorder="1" applyAlignment="1">
      <alignment horizontal="center" vertical="center"/>
    </xf>
    <xf numFmtId="0" fontId="17" fillId="4" borderId="84" xfId="0" applyFont="1" applyFill="1" applyBorder="1" applyAlignment="1">
      <alignment horizontal="center" vertical="center"/>
    </xf>
    <xf numFmtId="0" fontId="17" fillId="4" borderId="45" xfId="0" applyFont="1" applyFill="1" applyBorder="1" applyAlignment="1">
      <alignment horizontal="right"/>
    </xf>
    <xf numFmtId="0" fontId="17" fillId="3" borderId="45" xfId="0" applyFont="1" applyFill="1" applyBorder="1" applyAlignment="1">
      <alignment horizontal="right"/>
    </xf>
    <xf numFmtId="0" fontId="0" fillId="0" borderId="0" xfId="0" applyAlignment="1">
      <alignment horizontal="right"/>
    </xf>
    <xf numFmtId="0" fontId="0" fillId="0" borderId="88" xfId="0" applyBorder="1"/>
    <xf numFmtId="0" fontId="5" fillId="0" borderId="65" xfId="0" applyFont="1" applyBorder="1" applyAlignment="1">
      <alignment horizontal="right"/>
    </xf>
    <xf numFmtId="0" fontId="5" fillId="0" borderId="66" xfId="0" applyFont="1" applyBorder="1" applyAlignment="1">
      <alignment horizontal="right"/>
    </xf>
    <xf numFmtId="0" fontId="6" fillId="0" borderId="67" xfId="0" applyFont="1" applyBorder="1" applyAlignment="1">
      <alignment horizontal="right"/>
    </xf>
    <xf numFmtId="0" fontId="19" fillId="10" borderId="89" xfId="0" applyFont="1" applyFill="1" applyBorder="1"/>
    <xf numFmtId="0" fontId="4" fillId="8" borderId="50" xfId="0" applyFont="1" applyFill="1" applyBorder="1" applyAlignment="1">
      <alignment horizontal="right"/>
    </xf>
    <xf numFmtId="0" fontId="3" fillId="0" borderId="66" xfId="0" applyFont="1" applyBorder="1" applyAlignment="1">
      <alignment horizontal="right"/>
    </xf>
    <xf numFmtId="0" fontId="2" fillId="8" borderId="50" xfId="0" applyFont="1" applyFill="1" applyBorder="1" applyAlignment="1">
      <alignment horizontal="right"/>
    </xf>
    <xf numFmtId="0" fontId="2" fillId="0" borderId="0" xfId="0" applyFont="1"/>
    <xf numFmtId="0" fontId="2" fillId="0" borderId="0" xfId="0" applyFont="1" applyAlignment="1">
      <alignment wrapText="1"/>
    </xf>
    <xf numFmtId="0" fontId="2" fillId="0" borderId="0" xfId="0" applyFont="1" applyAlignment="1">
      <alignment vertical="top" wrapText="1"/>
    </xf>
    <xf numFmtId="0" fontId="16" fillId="5" borderId="68" xfId="0" applyFont="1" applyFill="1" applyBorder="1" applyAlignment="1">
      <alignment horizontal="left" vertical="top"/>
    </xf>
    <xf numFmtId="0" fontId="16" fillId="5" borderId="69" xfId="0" applyFont="1" applyFill="1" applyBorder="1" applyAlignment="1">
      <alignment horizontal="left" vertical="top"/>
    </xf>
    <xf numFmtId="0" fontId="17" fillId="0" borderId="65" xfId="0" applyFont="1" applyBorder="1" applyAlignment="1">
      <alignment horizontal="right"/>
    </xf>
    <xf numFmtId="0" fontId="17" fillId="0" borderId="67" xfId="0" applyFont="1" applyBorder="1" applyAlignment="1">
      <alignment horizontal="right"/>
    </xf>
    <xf numFmtId="0" fontId="17" fillId="11" borderId="69" xfId="0" applyFont="1" applyFill="1" applyBorder="1" applyAlignment="1">
      <alignment horizontal="right"/>
    </xf>
    <xf numFmtId="0" fontId="0" fillId="12" borderId="61" xfId="0" applyFill="1" applyBorder="1" applyAlignment="1">
      <alignment horizontal="right"/>
    </xf>
    <xf numFmtId="0" fontId="17" fillId="11" borderId="61" xfId="0" applyFont="1" applyFill="1" applyBorder="1" applyAlignment="1">
      <alignment horizontal="right" wrapText="1"/>
    </xf>
    <xf numFmtId="0" fontId="17" fillId="12" borderId="85" xfId="0" applyFont="1" applyFill="1" applyBorder="1" applyAlignment="1">
      <alignment horizontal="right" vertical="top"/>
    </xf>
    <xf numFmtId="0" fontId="17" fillId="12" borderId="86" xfId="0" applyFont="1" applyFill="1" applyBorder="1" applyAlignment="1">
      <alignment horizontal="right" vertical="top"/>
    </xf>
    <xf numFmtId="0" fontId="17" fillId="12" borderId="74" xfId="0" applyFont="1" applyFill="1" applyBorder="1" applyAlignment="1">
      <alignment horizontal="right" vertical="top"/>
    </xf>
    <xf numFmtId="0" fontId="17" fillId="13" borderId="74" xfId="0" applyFont="1" applyFill="1" applyBorder="1" applyAlignment="1">
      <alignment horizontal="right"/>
    </xf>
    <xf numFmtId="0" fontId="17" fillId="12" borderId="87" xfId="0" applyFont="1" applyFill="1" applyBorder="1" applyAlignment="1">
      <alignment horizontal="right" vertical="top"/>
    </xf>
    <xf numFmtId="0" fontId="17" fillId="12" borderId="69" xfId="0" applyFont="1" applyFill="1" applyBorder="1" applyAlignment="1">
      <alignment horizontal="right" vertical="top"/>
    </xf>
    <xf numFmtId="0" fontId="17" fillId="13" borderId="60" xfId="0" applyFont="1" applyFill="1" applyBorder="1" applyAlignment="1">
      <alignment horizontal="right"/>
    </xf>
    <xf numFmtId="0" fontId="17" fillId="13" borderId="45" xfId="0" applyFont="1" applyFill="1" applyBorder="1" applyAlignment="1">
      <alignment horizontal="right"/>
    </xf>
    <xf numFmtId="0" fontId="17" fillId="13" borderId="45" xfId="0" quotePrefix="1" applyFont="1" applyFill="1" applyBorder="1" applyAlignment="1">
      <alignment horizontal="right"/>
    </xf>
    <xf numFmtId="0" fontId="17" fillId="13" borderId="61" xfId="0" applyFont="1" applyFill="1" applyBorder="1" applyAlignment="1">
      <alignment horizontal="right"/>
    </xf>
    <xf numFmtId="0" fontId="17" fillId="13" borderId="70" xfId="0" applyFont="1" applyFill="1" applyBorder="1" applyAlignment="1">
      <alignment horizontal="right"/>
    </xf>
    <xf numFmtId="0" fontId="17" fillId="13" borderId="71" xfId="0" applyFont="1" applyFill="1" applyBorder="1" applyAlignment="1">
      <alignment horizontal="right"/>
    </xf>
    <xf numFmtId="0" fontId="17" fillId="13" borderId="71" xfId="0" quotePrefix="1" applyFont="1" applyFill="1" applyBorder="1" applyAlignment="1">
      <alignment horizontal="right"/>
    </xf>
    <xf numFmtId="0" fontId="17" fillId="13" borderId="72" xfId="0" applyFont="1" applyFill="1" applyBorder="1" applyAlignment="1">
      <alignment horizontal="right"/>
    </xf>
    <xf numFmtId="0" fontId="17" fillId="13" borderId="56" xfId="0" applyFont="1" applyFill="1" applyBorder="1" applyAlignment="1">
      <alignment horizontal="right"/>
    </xf>
    <xf numFmtId="0" fontId="17" fillId="13" borderId="28" xfId="0" applyFont="1" applyFill="1" applyBorder="1" applyAlignment="1">
      <alignment horizontal="right"/>
    </xf>
    <xf numFmtId="0" fontId="17" fillId="12" borderId="28" xfId="0" applyFont="1" applyFill="1" applyBorder="1" applyAlignment="1">
      <alignment horizontal="right"/>
    </xf>
    <xf numFmtId="0" fontId="5" fillId="12" borderId="0" xfId="0" applyFont="1" applyFill="1"/>
    <xf numFmtId="11" fontId="17" fillId="13" borderId="28" xfId="0" applyNumberFormat="1" applyFont="1" applyFill="1" applyBorder="1" applyAlignment="1">
      <alignment horizontal="right"/>
    </xf>
    <xf numFmtId="11" fontId="17" fillId="13" borderId="63" xfId="0" applyNumberFormat="1" applyFont="1" applyFill="1" applyBorder="1" applyAlignment="1">
      <alignment horizontal="right"/>
    </xf>
    <xf numFmtId="0" fontId="17" fillId="13" borderId="63" xfId="0" applyFont="1" applyFill="1" applyBorder="1" applyAlignment="1">
      <alignment horizontal="right"/>
    </xf>
    <xf numFmtId="0" fontId="17" fillId="11" borderId="61" xfId="0" applyFont="1" applyFill="1" applyBorder="1" applyAlignment="1">
      <alignment horizontal="right"/>
    </xf>
  </cellXfs>
  <cellStyles count="2">
    <cellStyle name="Normal" xfId="0" builtinId="0"/>
    <cellStyle name="Normal 2" xfId="1" xr:uid="{ECFAB3AD-FBD7-4B20-95B1-3134E145E5D7}"/>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817419</xdr:colOff>
      <xdr:row>25</xdr:row>
      <xdr:rowOff>127951</xdr:rowOff>
    </xdr:from>
    <xdr:to>
      <xdr:col>12</xdr:col>
      <xdr:colOff>1605431</xdr:colOff>
      <xdr:row>44</xdr:row>
      <xdr:rowOff>143674</xdr:rowOff>
    </xdr:to>
    <xdr:pic>
      <xdr:nvPicPr>
        <xdr:cNvPr id="4" name="Picture 3">
          <a:extLst>
            <a:ext uri="{FF2B5EF4-FFF2-40B4-BE49-F238E27FC236}">
              <a16:creationId xmlns:a16="http://schemas.microsoft.com/office/drawing/2014/main" id="{D6052F10-DBB0-2AB2-AFDE-E1D35D4ABF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6437" y="6293224"/>
          <a:ext cx="6662339" cy="40889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4792980</xdr:colOff>
      <xdr:row>14</xdr:row>
      <xdr:rowOff>91440</xdr:rowOff>
    </xdr:from>
    <xdr:ext cx="4032563" cy="2057399"/>
    <xdr:pic>
      <xdr:nvPicPr>
        <xdr:cNvPr id="2" name="image1.png" title="Image">
          <a:extLst>
            <a:ext uri="{FF2B5EF4-FFF2-40B4-BE49-F238E27FC236}">
              <a16:creationId xmlns:a16="http://schemas.microsoft.com/office/drawing/2014/main" id="{6236A9D5-847B-45F1-AF0F-1597E6BFF0AE}"/>
            </a:ext>
          </a:extLst>
        </xdr:cNvPr>
        <xdr:cNvPicPr preferRelativeResize="0"/>
      </xdr:nvPicPr>
      <xdr:blipFill>
        <a:blip xmlns:r="http://schemas.openxmlformats.org/officeDocument/2006/relationships" r:embed="rId1" cstate="print"/>
        <a:stretch>
          <a:fillRect/>
        </a:stretch>
      </xdr:blipFill>
      <xdr:spPr>
        <a:xfrm>
          <a:off x="4792980" y="4404360"/>
          <a:ext cx="4032563" cy="2057399"/>
        </a:xfrm>
        <a:prstGeom prst="rect">
          <a:avLst/>
        </a:prstGeom>
        <a:noFill/>
      </xdr:spPr>
    </xdr:pic>
    <xdr:clientData fLocksWithSheet="0"/>
  </xdr:one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70" zoomScaleNormal="70" workbookViewId="0">
      <selection activeCell="B20" sqref="B20"/>
    </sheetView>
  </sheetViews>
  <sheetFormatPr defaultColWidth="14.44140625" defaultRowHeight="15" customHeight="1" x14ac:dyDescent="0.3"/>
  <cols>
    <col min="1" max="1" width="18.109375" bestFit="1" customWidth="1"/>
    <col min="2" max="2" width="255.77734375" style="126" customWidth="1"/>
    <col min="3" max="3" width="29.44140625" customWidth="1"/>
  </cols>
  <sheetData>
    <row r="2" spans="1:2" ht="37.799999999999997" customHeight="1" x14ac:dyDescent="0.3">
      <c r="A2" s="64" t="s">
        <v>0</v>
      </c>
      <c r="B2" s="127" t="s">
        <v>1</v>
      </c>
    </row>
    <row r="3" spans="1:2" ht="15" customHeight="1" x14ac:dyDescent="0.3">
      <c r="A3" s="124"/>
      <c r="B3" s="125"/>
    </row>
    <row r="4" spans="1:2" ht="23.55" customHeight="1" x14ac:dyDescent="0.3">
      <c r="A4" s="64" t="s">
        <v>146</v>
      </c>
      <c r="B4" s="128" t="s">
        <v>147</v>
      </c>
    </row>
    <row r="5" spans="1:2" ht="14.4" x14ac:dyDescent="0.3">
      <c r="A5" s="124"/>
      <c r="B5" s="125"/>
    </row>
    <row r="6" spans="1:2" ht="72.45" customHeight="1" x14ac:dyDescent="0.3">
      <c r="A6" s="64" t="s">
        <v>2</v>
      </c>
      <c r="B6" s="128" t="s">
        <v>148</v>
      </c>
    </row>
    <row r="7" spans="1:2" ht="14.4" x14ac:dyDescent="0.3">
      <c r="A7" s="124"/>
      <c r="B7" s="125"/>
    </row>
    <row r="8" spans="1:2" ht="39.450000000000003" customHeight="1" x14ac:dyDescent="0.3">
      <c r="A8" s="64" t="s">
        <v>3</v>
      </c>
      <c r="B8" s="127" t="s">
        <v>4</v>
      </c>
    </row>
    <row r="9" spans="1:2" ht="14.4" x14ac:dyDescent="0.3">
      <c r="A9" s="124"/>
      <c r="B9" s="125"/>
    </row>
    <row r="10" spans="1:2" ht="55.8" customHeight="1" x14ac:dyDescent="0.3">
      <c r="A10" s="64" t="s">
        <v>5</v>
      </c>
      <c r="B10" s="128" t="s">
        <v>149</v>
      </c>
    </row>
  </sheetData>
  <dataValidations count="2">
    <dataValidation type="list" errorStyle="information" allowBlank="1" showInputMessage="1" showErrorMessage="1" sqref="A2 B2 A3 A7 A4 A10 A5 A8 A6 A9" xr:uid="{7BA91956-4582-4801-8A3D-C3E0C7E07024}">
      <formula1>",aaaa"</formula1>
    </dataValidation>
    <dataValidation type="list" errorStyle="information" allowBlank="1" showInputMessage="1" showErrorMessage="1" sqref="A11:A1048576 B11:B1048576 B7 B3 B4:B6 B8 B10 B9" xr:uid="{D4AFB920-A0EB-4CCE-B113-CB36D31BE241}">
      <formula1>"-,kg,s,m,K,°C,W,bar,kg/h,t/h,kW,kW/m2K,W/m2K,kJ/kgK,kJ/kg,m3/h,%,eur,eur/y,kWel/kWth,year"</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55" zoomScaleNormal="5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66"/>
  </cols>
  <sheetData>
    <row r="1" spans="1:4" ht="14.4" x14ac:dyDescent="0.3">
      <c r="A1" s="109" t="s">
        <v>84</v>
      </c>
      <c r="B1" s="236"/>
      <c r="C1" s="2"/>
      <c r="D1" s="11" t="s">
        <v>121</v>
      </c>
    </row>
    <row r="2" spans="1:4" ht="14.4" x14ac:dyDescent="0.3">
      <c r="A2" s="110" t="s">
        <v>85</v>
      </c>
      <c r="B2" s="111" t="s">
        <v>242</v>
      </c>
      <c r="D2" s="129" t="s">
        <v>6</v>
      </c>
    </row>
    <row r="3" spans="1:4" ht="14.4" x14ac:dyDescent="0.3">
      <c r="A3" s="110" t="s">
        <v>86</v>
      </c>
      <c r="B3" s="111" t="s">
        <v>176</v>
      </c>
      <c r="C3" s="66"/>
      <c r="D3" s="130" t="s">
        <v>155</v>
      </c>
    </row>
    <row r="4" spans="1:4" ht="14.4" x14ac:dyDescent="0.3">
      <c r="A4" s="110" t="s">
        <v>98</v>
      </c>
      <c r="B4" s="111" t="s">
        <v>99</v>
      </c>
      <c r="C4" s="66"/>
      <c r="D4" s="130" t="s">
        <v>156</v>
      </c>
    </row>
    <row r="5" spans="1:4" ht="14.4" x14ac:dyDescent="0.3">
      <c r="A5" s="110" t="s">
        <v>89</v>
      </c>
      <c r="B5" s="111" t="s">
        <v>9</v>
      </c>
      <c r="C5" s="66"/>
      <c r="D5" s="129" t="s">
        <v>10</v>
      </c>
    </row>
    <row r="6" spans="1:4" ht="14.4" x14ac:dyDescent="0.3">
      <c r="A6" s="110" t="s">
        <v>93</v>
      </c>
      <c r="B6" s="111" t="s">
        <v>335</v>
      </c>
      <c r="C6" s="66"/>
      <c r="D6" s="129" t="s">
        <v>13</v>
      </c>
    </row>
    <row r="7" spans="1:4" ht="14.4" x14ac:dyDescent="0.3">
      <c r="A7" s="110" t="s">
        <v>101</v>
      </c>
      <c r="B7" s="111" t="s">
        <v>102</v>
      </c>
      <c r="D7" s="130" t="s">
        <v>157</v>
      </c>
    </row>
    <row r="8" spans="1:4" ht="14.4" x14ac:dyDescent="0.3">
      <c r="A8" s="110" t="s">
        <v>87</v>
      </c>
      <c r="B8" s="112" t="s">
        <v>336</v>
      </c>
      <c r="C8" s="66"/>
      <c r="D8" s="130" t="s">
        <v>153</v>
      </c>
    </row>
    <row r="9" spans="1:4" ht="14.4" x14ac:dyDescent="0.3">
      <c r="A9" s="110" t="s">
        <v>88</v>
      </c>
      <c r="B9" s="111" t="s">
        <v>8</v>
      </c>
      <c r="C9" s="66"/>
      <c r="D9" s="130" t="s">
        <v>154</v>
      </c>
    </row>
    <row r="10" spans="1:4" ht="14.4" x14ac:dyDescent="0.3">
      <c r="A10" s="110" t="s">
        <v>122</v>
      </c>
      <c r="B10" s="132">
        <v>1</v>
      </c>
      <c r="D10" s="130" t="s">
        <v>158</v>
      </c>
    </row>
    <row r="11" spans="1:4" ht="14.4" x14ac:dyDescent="0.3">
      <c r="A11" s="110" t="s">
        <v>91</v>
      </c>
      <c r="B11" s="111" t="s">
        <v>262</v>
      </c>
      <c r="C11" s="66"/>
      <c r="D11" s="130" t="s">
        <v>159</v>
      </c>
    </row>
    <row r="12" spans="1:4" ht="28.8" x14ac:dyDescent="0.3">
      <c r="A12" s="113" t="s">
        <v>95</v>
      </c>
      <c r="B12" s="185" t="s">
        <v>263</v>
      </c>
      <c r="C12" s="1"/>
      <c r="D12" s="130" t="s">
        <v>160</v>
      </c>
    </row>
    <row r="13" spans="1:4" ht="21.45" customHeight="1" x14ac:dyDescent="0.3">
      <c r="A13" s="113" t="s">
        <v>60</v>
      </c>
      <c r="B13" s="111">
        <v>9</v>
      </c>
      <c r="C13" s="1"/>
      <c r="D13" s="130" t="s">
        <v>161</v>
      </c>
    </row>
    <row r="14" spans="1:4" ht="14.4" x14ac:dyDescent="0.3">
      <c r="A14" s="110" t="s">
        <v>94</v>
      </c>
      <c r="B14" s="260" t="s">
        <v>264</v>
      </c>
      <c r="C14" s="65"/>
      <c r="D14" s="129" t="s">
        <v>14</v>
      </c>
    </row>
    <row r="15" spans="1:4" ht="14.4" x14ac:dyDescent="0.3">
      <c r="A15" s="113" t="s">
        <v>15</v>
      </c>
      <c r="B15" s="114" t="s">
        <v>178</v>
      </c>
      <c r="C15" s="1"/>
      <c r="D15" s="129" t="s">
        <v>151</v>
      </c>
    </row>
    <row r="16" spans="1:4" ht="14.4" x14ac:dyDescent="0.3">
      <c r="A16" s="113" t="s">
        <v>96</v>
      </c>
      <c r="B16" s="237"/>
      <c r="C16" s="1"/>
      <c r="D16" s="129" t="s">
        <v>150</v>
      </c>
    </row>
    <row r="17" spans="1:4" ht="14.4" x14ac:dyDescent="0.3">
      <c r="A17" s="113" t="s">
        <v>100</v>
      </c>
      <c r="B17" s="237" t="s">
        <v>266</v>
      </c>
      <c r="C17" s="1"/>
      <c r="D17" s="130" t="s">
        <v>162</v>
      </c>
    </row>
    <row r="18" spans="1:4" ht="20.55" customHeight="1" x14ac:dyDescent="0.3">
      <c r="A18" s="110" t="s">
        <v>90</v>
      </c>
      <c r="B18" s="238" t="s">
        <v>337</v>
      </c>
      <c r="D18" s="130" t="s">
        <v>163</v>
      </c>
    </row>
    <row r="19" spans="1:4" ht="14.4" x14ac:dyDescent="0.3">
      <c r="A19" s="110" t="s">
        <v>92</v>
      </c>
      <c r="B19" s="111" t="s">
        <v>265</v>
      </c>
      <c r="C19" s="66"/>
      <c r="D19" s="129" t="s">
        <v>11</v>
      </c>
    </row>
    <row r="20" spans="1:4" ht="14.4" x14ac:dyDescent="0.3">
      <c r="A20" s="110" t="s">
        <v>119</v>
      </c>
      <c r="B20" s="111" t="s">
        <v>265</v>
      </c>
      <c r="C20" s="66"/>
      <c r="D20" s="130" t="s">
        <v>164</v>
      </c>
    </row>
    <row r="21" spans="1:4" ht="15.75" customHeight="1" x14ac:dyDescent="0.3">
      <c r="A21" s="113" t="s">
        <v>97</v>
      </c>
      <c r="B21" s="111" t="s">
        <v>267</v>
      </c>
      <c r="C21" s="183"/>
      <c r="D21" s="130" t="s">
        <v>165</v>
      </c>
    </row>
    <row r="22" spans="1:4" ht="14.4" x14ac:dyDescent="0.3">
      <c r="A22" s="110" t="s">
        <v>12</v>
      </c>
      <c r="B22" s="237"/>
      <c r="C22" s="66"/>
      <c r="D22" s="130" t="s">
        <v>166</v>
      </c>
    </row>
    <row r="23" spans="1:4" ht="15.75" customHeight="1" thickBot="1" x14ac:dyDescent="0.35">
      <c r="A23" s="115" t="s">
        <v>103</v>
      </c>
      <c r="B23" s="116" t="s">
        <v>117</v>
      </c>
      <c r="C23" s="184"/>
      <c r="D23" s="130" t="s">
        <v>152</v>
      </c>
    </row>
  </sheetData>
  <dataValidations count="1">
    <dataValidation type="list" errorStyle="information" allowBlank="1" showInputMessage="1" showErrorMessage="1" sqref="D14:D23" xr:uid="{BC92BB6B-9D47-46BB-9367-4B2F674EAF50}">
      <formula1>"-,kg,s,m,K,°C,W,bar,kg/h,t/h,kW,kW/m2K,W/m2K,kJ/kgK,kJ/kg,m3/h,%,eur,eur/y,kWel/kWth,year"</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11"/>
  <sheetViews>
    <sheetView showGridLines="0" topLeftCell="B1" zoomScale="84" zoomScaleNormal="70" workbookViewId="0">
      <selection activeCell="A15" sqref="A15"/>
    </sheetView>
  </sheetViews>
  <sheetFormatPr defaultColWidth="14.44140625" defaultRowHeight="15" customHeight="1" x14ac:dyDescent="0.3"/>
  <cols>
    <col min="1" max="1" width="42.6640625" style="63" customWidth="1"/>
    <col min="2" max="2" width="19.44140625" style="63" bestFit="1" customWidth="1"/>
    <col min="3" max="3" width="17.33203125" style="63" customWidth="1"/>
    <col min="4" max="4" width="20.109375" style="63" bestFit="1" customWidth="1"/>
    <col min="5" max="5" width="19.44140625" style="63" bestFit="1" customWidth="1"/>
    <col min="6" max="6" width="23.44140625" style="63" customWidth="1"/>
    <col min="7" max="7" width="27" style="63" customWidth="1"/>
    <col min="8" max="8" width="23.44140625" style="63" customWidth="1"/>
    <col min="9" max="9" width="33.109375" style="63" bestFit="1" customWidth="1"/>
    <col min="10" max="10" width="27" style="63"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2" spans="1:12" thickBot="1" x14ac:dyDescent="0.35">
      <c r="A2" s="11" t="s">
        <v>83</v>
      </c>
      <c r="B2" s="4"/>
      <c r="C2" s="4"/>
      <c r="D2" s="4"/>
      <c r="E2" s="4"/>
      <c r="F2" s="4"/>
      <c r="G2" s="4"/>
      <c r="H2" s="4"/>
      <c r="I2" s="4"/>
      <c r="J2" s="4"/>
      <c r="K2" s="3"/>
      <c r="L2" s="5"/>
    </row>
    <row r="3" spans="1:12" thickBot="1" x14ac:dyDescent="0.35">
      <c r="A3" s="78" t="s">
        <v>16</v>
      </c>
      <c r="B3" s="79"/>
      <c r="C3" s="79"/>
      <c r="D3" s="79"/>
      <c r="E3" s="79"/>
      <c r="F3" s="79"/>
      <c r="G3" s="79"/>
      <c r="H3" s="79"/>
      <c r="I3" s="79"/>
      <c r="J3" s="79"/>
      <c r="K3" s="120"/>
      <c r="L3" s="121"/>
    </row>
    <row r="4" spans="1:12" thickBot="1" x14ac:dyDescent="0.35">
      <c r="A4" s="105" t="s">
        <v>120</v>
      </c>
      <c r="B4" s="106" t="s">
        <v>17</v>
      </c>
      <c r="C4" s="106" t="s">
        <v>18</v>
      </c>
      <c r="D4" s="106" t="s">
        <v>171</v>
      </c>
      <c r="E4" s="106" t="s">
        <v>20</v>
      </c>
      <c r="F4" s="107" t="s">
        <v>21</v>
      </c>
      <c r="G4" s="106" t="s">
        <v>22</v>
      </c>
      <c r="H4" s="106" t="s">
        <v>23</v>
      </c>
      <c r="I4" s="106" t="s">
        <v>24</v>
      </c>
      <c r="J4" s="106" t="s">
        <v>25</v>
      </c>
      <c r="K4" s="106" t="s">
        <v>26</v>
      </c>
      <c r="L4" s="108" t="s">
        <v>15</v>
      </c>
    </row>
    <row r="5" spans="1:12" thickBot="1" x14ac:dyDescent="0.35">
      <c r="A5" s="133" t="s">
        <v>33</v>
      </c>
      <c r="B5" s="122" t="s">
        <v>179</v>
      </c>
      <c r="C5" s="122" t="s">
        <v>33</v>
      </c>
      <c r="D5" s="122" t="s">
        <v>34</v>
      </c>
      <c r="E5" s="122" t="s">
        <v>35</v>
      </c>
      <c r="F5" s="134" t="s">
        <v>35</v>
      </c>
      <c r="G5" s="122" t="s">
        <v>35</v>
      </c>
      <c r="H5" s="122" t="s">
        <v>35</v>
      </c>
      <c r="I5" s="122" t="s">
        <v>35</v>
      </c>
      <c r="J5" s="122" t="s">
        <v>35</v>
      </c>
      <c r="K5" s="122" t="s">
        <v>35</v>
      </c>
      <c r="L5" s="135" t="s">
        <v>244</v>
      </c>
    </row>
    <row r="6" spans="1:12" thickBot="1" x14ac:dyDescent="0.35">
      <c r="A6" s="136" t="s">
        <v>31</v>
      </c>
      <c r="B6" s="137" t="s">
        <v>180</v>
      </c>
      <c r="C6" s="138" t="s">
        <v>27</v>
      </c>
      <c r="D6" s="138" t="s">
        <v>28</v>
      </c>
      <c r="E6" s="138">
        <v>25</v>
      </c>
      <c r="F6" s="137" t="s">
        <v>288</v>
      </c>
      <c r="G6" s="137">
        <v>1</v>
      </c>
      <c r="H6" s="138" t="s">
        <v>29</v>
      </c>
      <c r="I6" s="137">
        <v>-1</v>
      </c>
      <c r="J6" s="137" t="s">
        <v>30</v>
      </c>
      <c r="K6" s="179" t="s">
        <v>32</v>
      </c>
      <c r="L6" s="170" t="s">
        <v>261</v>
      </c>
    </row>
    <row r="7" spans="1:12" thickBot="1" x14ac:dyDescent="0.35">
      <c r="A7" s="8"/>
      <c r="B7" s="8"/>
      <c r="C7" s="8"/>
      <c r="D7" s="8"/>
      <c r="E7" s="8"/>
      <c r="F7" s="8"/>
      <c r="G7" s="8"/>
      <c r="H7" s="8"/>
      <c r="I7" s="9"/>
      <c r="J7" s="10"/>
      <c r="K7" s="10"/>
      <c r="L7" s="10"/>
    </row>
    <row r="8" spans="1:12" thickBot="1" x14ac:dyDescent="0.35">
      <c r="A8" s="11" t="s">
        <v>82</v>
      </c>
      <c r="B8" s="12"/>
      <c r="C8" s="12"/>
      <c r="D8" s="12"/>
      <c r="E8" s="12"/>
      <c r="F8" s="12"/>
      <c r="G8" s="12"/>
      <c r="H8" s="12"/>
      <c r="I8" s="13"/>
      <c r="J8" s="14"/>
      <c r="K8" s="14"/>
      <c r="L8" s="14"/>
    </row>
    <row r="9" spans="1:12" thickBot="1" x14ac:dyDescent="0.35">
      <c r="A9" s="78" t="s">
        <v>36</v>
      </c>
      <c r="B9" s="79"/>
      <c r="C9" s="79"/>
      <c r="D9" s="79"/>
      <c r="E9" s="79"/>
      <c r="F9" s="79"/>
      <c r="G9" s="79"/>
      <c r="H9" s="79"/>
      <c r="I9" s="79"/>
      <c r="J9" s="79"/>
      <c r="K9" s="120"/>
      <c r="L9" s="121"/>
    </row>
    <row r="10" spans="1:12" thickBot="1" x14ac:dyDescent="0.35">
      <c r="A10" s="172" t="s">
        <v>120</v>
      </c>
      <c r="B10" s="173" t="s">
        <v>17</v>
      </c>
      <c r="C10" s="173" t="s">
        <v>18</v>
      </c>
      <c r="D10" s="173" t="s">
        <v>171</v>
      </c>
      <c r="E10" s="173" t="s">
        <v>20</v>
      </c>
      <c r="F10" s="174" t="s">
        <v>21</v>
      </c>
      <c r="G10" s="173" t="s">
        <v>22</v>
      </c>
      <c r="H10" s="173" t="s">
        <v>23</v>
      </c>
      <c r="I10" s="173" t="s">
        <v>24</v>
      </c>
      <c r="J10" s="173" t="s">
        <v>25</v>
      </c>
      <c r="K10" s="173" t="s">
        <v>26</v>
      </c>
      <c r="L10" s="175" t="s">
        <v>15</v>
      </c>
    </row>
    <row r="11" spans="1:12" thickBot="1" x14ac:dyDescent="0.35">
      <c r="A11" s="171" t="s">
        <v>35</v>
      </c>
      <c r="B11" s="176" t="s">
        <v>35</v>
      </c>
      <c r="C11" s="176" t="s">
        <v>35</v>
      </c>
      <c r="D11" s="227" t="s">
        <v>35</v>
      </c>
      <c r="E11" s="176" t="s">
        <v>35</v>
      </c>
      <c r="F11" s="176" t="s">
        <v>35</v>
      </c>
      <c r="G11" s="176" t="s">
        <v>35</v>
      </c>
      <c r="H11" s="176" t="s">
        <v>35</v>
      </c>
      <c r="I11" s="176" t="s">
        <v>35</v>
      </c>
      <c r="J11" s="176" t="s">
        <v>35</v>
      </c>
      <c r="K11" s="176" t="s">
        <v>35</v>
      </c>
      <c r="L11" s="177" t="s">
        <v>35</v>
      </c>
    </row>
  </sheetData>
  <dataValidations count="2">
    <dataValidation type="list" errorStyle="information" allowBlank="1" showInputMessage="1" showErrorMessage="1" sqref="C5 C6" xr:uid="{4195A88D-DA8E-4AD7-AD96-9E0ED69E897C}">
      <formula1>"ELECTRICITY,EMISSIONS,MASS"</formula1>
    </dataValidation>
    <dataValidation type="list" errorStyle="information" allowBlank="1" showInputMessage="1" showErrorMessage="1" sqref="H5:H6 F11 D11 H11 D5:D6 F5:F6 A3" xr:uid="{A3B29118-A356-44EC-9F36-B76439C38B86}">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39"/>
  <sheetViews>
    <sheetView showGridLines="0" topLeftCell="C7" zoomScale="80" zoomScaleNormal="55" workbookViewId="0">
      <selection activeCell="K23" sqref="K23"/>
    </sheetView>
  </sheetViews>
  <sheetFormatPr defaultColWidth="14.44140625" defaultRowHeight="15" customHeight="1" x14ac:dyDescent="0.3"/>
  <cols>
    <col min="1" max="1" width="176.33203125" style="63" bestFit="1" customWidth="1"/>
    <col min="2" max="2" width="12.88671875" style="63" customWidth="1"/>
    <col min="3" max="3" width="33.5546875" style="63" bestFit="1" customWidth="1"/>
    <col min="4" max="4" width="14.21875" style="63" customWidth="1"/>
    <col min="5" max="5" width="14.5546875" style="63" bestFit="1" customWidth="1"/>
    <col min="6" max="6" width="13.109375" style="63" bestFit="1" customWidth="1"/>
    <col min="7" max="7" width="97.44140625" style="63" bestFit="1" customWidth="1"/>
    <col min="8" max="9" width="12" style="63" bestFit="1" customWidth="1"/>
    <col min="10" max="10" width="24.33203125" style="63" bestFit="1" customWidth="1"/>
    <col min="11" max="11" width="19" style="63" customWidth="1"/>
    <col min="12" max="12" width="96" style="63" bestFit="1" customWidth="1"/>
    <col min="13" max="13" width="29.77734375" style="63" customWidth="1"/>
    <col min="14" max="39" width="10.6640625" style="63" customWidth="1"/>
    <col min="40" max="16384" width="14.44140625" style="63"/>
  </cols>
  <sheetData>
    <row r="1" spans="1:12" customFormat="1" ht="14.4" x14ac:dyDescent="0.3">
      <c r="A1" s="15" t="s">
        <v>37</v>
      </c>
      <c r="B1" s="187"/>
      <c r="C1" s="187"/>
      <c r="D1" s="187"/>
      <c r="E1" s="187"/>
      <c r="F1" s="187"/>
      <c r="G1" s="187"/>
      <c r="H1" s="187"/>
      <c r="I1" s="187"/>
      <c r="J1" s="187"/>
      <c r="K1" s="187"/>
      <c r="L1" s="187"/>
    </row>
    <row r="2" spans="1:12" ht="14.4" x14ac:dyDescent="0.3">
      <c r="A2" s="16" t="s">
        <v>38</v>
      </c>
      <c r="B2" s="187"/>
      <c r="C2" s="187"/>
      <c r="D2" s="187"/>
      <c r="E2" s="187"/>
      <c r="F2" s="187"/>
      <c r="G2" s="187"/>
      <c r="H2" s="187"/>
      <c r="I2" s="187"/>
      <c r="J2" s="187"/>
      <c r="K2" s="187"/>
      <c r="L2" s="187"/>
    </row>
    <row r="3" spans="1:12" ht="14.4" x14ac:dyDescent="0.3">
      <c r="A3" s="17" t="s">
        <v>39</v>
      </c>
      <c r="B3" s="188"/>
      <c r="C3" s="188"/>
      <c r="D3" s="188"/>
      <c r="E3" s="188"/>
      <c r="F3" s="188"/>
      <c r="G3" s="188"/>
      <c r="H3" s="188"/>
      <c r="I3" s="188"/>
      <c r="J3" s="188"/>
      <c r="K3" s="187"/>
      <c r="L3" s="187"/>
    </row>
    <row r="4" spans="1:12" ht="14.4" x14ac:dyDescent="0.3">
      <c r="A4" s="17" t="s">
        <v>40</v>
      </c>
      <c r="B4" s="188"/>
      <c r="C4" s="188"/>
      <c r="D4" s="188"/>
      <c r="E4" s="188"/>
      <c r="F4" s="188"/>
      <c r="G4" s="188"/>
      <c r="H4" s="188"/>
      <c r="I4" s="188"/>
      <c r="J4" s="188"/>
      <c r="K4" s="187"/>
      <c r="L4" s="187"/>
    </row>
    <row r="5" spans="1:12" ht="14.4" x14ac:dyDescent="0.3">
      <c r="A5" s="17" t="s">
        <v>41</v>
      </c>
      <c r="B5" s="188"/>
      <c r="C5" s="188"/>
      <c r="D5" s="188"/>
      <c r="E5" s="188"/>
      <c r="F5" s="188"/>
      <c r="G5" s="188"/>
      <c r="H5" s="188"/>
      <c r="I5" s="188"/>
      <c r="J5" s="188"/>
      <c r="K5" s="187"/>
      <c r="L5" s="187"/>
    </row>
    <row r="6" spans="1:12" ht="14.4" x14ac:dyDescent="0.3">
      <c r="A6" s="189" t="s">
        <v>167</v>
      </c>
      <c r="B6" s="188"/>
      <c r="C6" s="188"/>
      <c r="D6" s="188"/>
      <c r="E6" s="188"/>
      <c r="F6" s="188"/>
      <c r="G6" s="188"/>
      <c r="H6" s="188"/>
      <c r="I6" s="188"/>
      <c r="J6" s="188"/>
      <c r="K6" s="187"/>
      <c r="L6" s="187"/>
    </row>
    <row r="7" spans="1:12" ht="14.4" x14ac:dyDescent="0.3">
      <c r="A7" s="190" t="s">
        <v>42</v>
      </c>
      <c r="B7" s="188"/>
      <c r="C7" s="188"/>
      <c r="D7" s="188"/>
      <c r="E7" s="188"/>
      <c r="F7" s="188"/>
      <c r="G7" s="188"/>
      <c r="H7" s="188"/>
      <c r="I7" s="188"/>
      <c r="J7" s="188"/>
      <c r="K7" s="187"/>
      <c r="L7" s="187"/>
    </row>
    <row r="8" spans="1:12" ht="14.4" x14ac:dyDescent="0.3">
      <c r="A8" s="188" t="s">
        <v>43</v>
      </c>
      <c r="B8" s="188"/>
      <c r="C8" s="188"/>
      <c r="D8" s="188"/>
      <c r="E8" s="188"/>
      <c r="F8" s="188"/>
      <c r="G8" s="188"/>
      <c r="H8" s="188"/>
      <c r="I8" s="188"/>
      <c r="J8" s="188"/>
      <c r="K8" s="187"/>
      <c r="L8" s="187"/>
    </row>
    <row r="9" spans="1:12" ht="14.4" x14ac:dyDescent="0.3">
      <c r="A9" s="191" t="s">
        <v>44</v>
      </c>
      <c r="B9" s="192"/>
      <c r="C9" s="192"/>
      <c r="D9" s="192"/>
      <c r="E9" s="192"/>
      <c r="F9" s="192"/>
      <c r="G9" s="192"/>
      <c r="H9" s="192"/>
      <c r="I9" s="192"/>
      <c r="J9" s="192"/>
      <c r="K9" s="193"/>
      <c r="L9" s="193"/>
    </row>
    <row r="10" spans="1:12" ht="14.4" x14ac:dyDescent="0.3">
      <c r="A10" s="194" t="s">
        <v>45</v>
      </c>
      <c r="B10" s="192"/>
      <c r="C10" s="192"/>
      <c r="D10" s="192"/>
      <c r="E10" s="192"/>
      <c r="F10" s="192"/>
      <c r="G10" s="192"/>
      <c r="H10" s="192"/>
      <c r="I10" s="192"/>
      <c r="J10" s="192"/>
      <c r="K10" s="193"/>
      <c r="L10" s="193"/>
    </row>
    <row r="11" spans="1:12" ht="14.4" x14ac:dyDescent="0.3">
      <c r="A11" s="188"/>
      <c r="B11" s="192"/>
      <c r="C11" s="192"/>
      <c r="D11" s="192"/>
      <c r="E11" s="192"/>
      <c r="F11" s="192"/>
      <c r="G11" s="192"/>
      <c r="H11" s="192"/>
      <c r="I11" s="192"/>
      <c r="J11" s="192"/>
      <c r="K11" s="193"/>
      <c r="L11" s="193"/>
    </row>
    <row r="12" spans="1:12" ht="17.25" customHeight="1" thickBot="1" x14ac:dyDescent="0.35">
      <c r="A12" s="18"/>
      <c r="B12" s="19"/>
      <c r="C12" s="19"/>
      <c r="D12" s="19"/>
      <c r="E12" s="19"/>
      <c r="F12" s="19"/>
      <c r="G12" s="61"/>
      <c r="H12" s="19"/>
      <c r="I12" s="19"/>
      <c r="J12" s="19"/>
      <c r="K12" s="19"/>
      <c r="L12" s="19"/>
    </row>
    <row r="13" spans="1:12" ht="14.4" x14ac:dyDescent="0.3">
      <c r="A13" s="20"/>
      <c r="B13" s="21"/>
      <c r="C13" s="21"/>
      <c r="D13" s="21"/>
      <c r="E13" s="21"/>
      <c r="F13" s="21"/>
      <c r="G13" s="62"/>
      <c r="H13" s="21"/>
      <c r="I13" s="21"/>
      <c r="J13" s="21"/>
      <c r="K13" s="21"/>
      <c r="L13" s="21"/>
    </row>
    <row r="14" spans="1:12" thickBot="1" x14ac:dyDescent="0.35">
      <c r="A14" s="69" t="s">
        <v>3</v>
      </c>
      <c r="B14" s="95"/>
      <c r="C14" s="95"/>
      <c r="D14" s="95"/>
      <c r="E14" s="95"/>
      <c r="F14" s="95"/>
      <c r="G14" s="76"/>
      <c r="H14" s="95"/>
      <c r="I14" s="95"/>
      <c r="J14" s="95"/>
      <c r="K14" s="95"/>
      <c r="L14" s="96"/>
    </row>
    <row r="15" spans="1:12" thickBot="1" x14ac:dyDescent="0.35">
      <c r="A15" s="97" t="s">
        <v>118</v>
      </c>
      <c r="B15" s="98" t="s">
        <v>18</v>
      </c>
      <c r="C15" s="98" t="s">
        <v>77</v>
      </c>
      <c r="D15" s="98" t="s">
        <v>42</v>
      </c>
      <c r="E15" s="98" t="s">
        <v>175</v>
      </c>
      <c r="F15" s="98" t="s">
        <v>19</v>
      </c>
      <c r="G15" s="98" t="s">
        <v>174</v>
      </c>
      <c r="H15" s="99" t="s">
        <v>78</v>
      </c>
      <c r="I15" s="98" t="s">
        <v>79</v>
      </c>
      <c r="J15" s="98" t="s">
        <v>80</v>
      </c>
      <c r="K15" s="139" t="s">
        <v>124</v>
      </c>
      <c r="L15" s="100" t="s">
        <v>15</v>
      </c>
    </row>
    <row r="16" spans="1:12" ht="14.4" x14ac:dyDescent="0.3">
      <c r="A16" s="140" t="s">
        <v>181</v>
      </c>
      <c r="B16" s="101" t="s">
        <v>268</v>
      </c>
      <c r="C16" s="180" t="s">
        <v>321</v>
      </c>
      <c r="D16" s="131" t="s">
        <v>48</v>
      </c>
      <c r="E16" s="180">
        <v>16.32</v>
      </c>
      <c r="F16" s="101" t="s">
        <v>288</v>
      </c>
      <c r="G16" s="101" t="s">
        <v>35</v>
      </c>
      <c r="H16" s="253">
        <v>5</v>
      </c>
      <c r="I16" s="253">
        <v>20</v>
      </c>
      <c r="J16" s="101" t="s">
        <v>182</v>
      </c>
      <c r="K16" s="253" t="s">
        <v>327</v>
      </c>
      <c r="L16" s="195" t="s">
        <v>271</v>
      </c>
    </row>
    <row r="17" spans="1:12" ht="14.4" x14ac:dyDescent="0.3">
      <c r="A17" s="102" t="s">
        <v>183</v>
      </c>
      <c r="B17" s="94" t="s">
        <v>46</v>
      </c>
      <c r="C17" s="181" t="s">
        <v>322</v>
      </c>
      <c r="D17" s="94" t="s">
        <v>48</v>
      </c>
      <c r="E17" s="181">
        <v>30</v>
      </c>
      <c r="F17" s="94" t="s">
        <v>288</v>
      </c>
      <c r="G17" s="94" t="s">
        <v>35</v>
      </c>
      <c r="H17" s="254">
        <v>25</v>
      </c>
      <c r="I17" s="254">
        <v>40</v>
      </c>
      <c r="J17" s="94" t="s">
        <v>184</v>
      </c>
      <c r="K17" s="254" t="s">
        <v>327</v>
      </c>
      <c r="L17" s="196" t="s">
        <v>270</v>
      </c>
    </row>
    <row r="18" spans="1:12" ht="14.4" x14ac:dyDescent="0.3">
      <c r="A18" s="102" t="s">
        <v>269</v>
      </c>
      <c r="B18" s="94" t="s">
        <v>47</v>
      </c>
      <c r="C18" s="181" t="s">
        <v>284</v>
      </c>
      <c r="D18" s="94" t="s">
        <v>48</v>
      </c>
      <c r="E18" s="181">
        <v>4.2</v>
      </c>
      <c r="F18" s="94" t="s">
        <v>81</v>
      </c>
      <c r="G18" s="94" t="s">
        <v>35</v>
      </c>
      <c r="H18" s="255">
        <v>4</v>
      </c>
      <c r="I18" s="255">
        <v>4.3</v>
      </c>
      <c r="J18" s="94" t="s">
        <v>272</v>
      </c>
      <c r="K18" s="254" t="s">
        <v>339</v>
      </c>
      <c r="L18" s="196" t="s">
        <v>273</v>
      </c>
    </row>
    <row r="19" spans="1:12" ht="14.4" x14ac:dyDescent="0.3">
      <c r="A19" s="102" t="s">
        <v>185</v>
      </c>
      <c r="B19" s="94" t="s">
        <v>47</v>
      </c>
      <c r="C19" s="94" t="s">
        <v>239</v>
      </c>
      <c r="D19" s="94" t="s">
        <v>50</v>
      </c>
      <c r="E19" s="94">
        <v>100000</v>
      </c>
      <c r="F19" s="94" t="s">
        <v>34</v>
      </c>
      <c r="G19" s="94" t="s">
        <v>35</v>
      </c>
      <c r="H19" s="255">
        <v>10000</v>
      </c>
      <c r="I19" s="255">
        <v>500000</v>
      </c>
      <c r="J19" s="94" t="s">
        <v>186</v>
      </c>
      <c r="K19" s="254" t="s">
        <v>339</v>
      </c>
      <c r="L19" s="197" t="s">
        <v>239</v>
      </c>
    </row>
    <row r="20" spans="1:12" ht="14.4" x14ac:dyDescent="0.3">
      <c r="A20" s="102" t="s">
        <v>187</v>
      </c>
      <c r="B20" s="94" t="s">
        <v>46</v>
      </c>
      <c r="C20" s="181" t="s">
        <v>240</v>
      </c>
      <c r="D20" s="94" t="s">
        <v>48</v>
      </c>
      <c r="E20" s="181">
        <v>20</v>
      </c>
      <c r="F20" s="94" t="s">
        <v>288</v>
      </c>
      <c r="G20" s="94" t="s">
        <v>35</v>
      </c>
      <c r="H20" s="256">
        <v>-10</v>
      </c>
      <c r="I20" s="255">
        <v>45</v>
      </c>
      <c r="J20" s="94" t="s">
        <v>188</v>
      </c>
      <c r="K20" s="254" t="s">
        <v>339</v>
      </c>
      <c r="L20" s="196" t="s">
        <v>328</v>
      </c>
    </row>
    <row r="21" spans="1:12" ht="14.4" x14ac:dyDescent="0.3">
      <c r="A21" s="102" t="s">
        <v>189</v>
      </c>
      <c r="B21" s="94" t="s">
        <v>46</v>
      </c>
      <c r="C21" s="94" t="s">
        <v>190</v>
      </c>
      <c r="D21" s="94" t="s">
        <v>48</v>
      </c>
      <c r="E21" s="94">
        <v>40</v>
      </c>
      <c r="F21" s="94" t="s">
        <v>191</v>
      </c>
      <c r="G21" s="94" t="s">
        <v>35</v>
      </c>
      <c r="H21" s="255">
        <v>10</v>
      </c>
      <c r="I21" s="255">
        <v>100</v>
      </c>
      <c r="J21" s="94" t="s">
        <v>192</v>
      </c>
      <c r="K21" s="254" t="s">
        <v>339</v>
      </c>
      <c r="L21" s="196" t="s">
        <v>329</v>
      </c>
    </row>
    <row r="22" spans="1:12" ht="14.4" x14ac:dyDescent="0.3">
      <c r="A22" s="102" t="s">
        <v>193</v>
      </c>
      <c r="B22" s="94" t="s">
        <v>46</v>
      </c>
      <c r="C22" s="181" t="s">
        <v>241</v>
      </c>
      <c r="D22" s="94" t="s">
        <v>48</v>
      </c>
      <c r="E22" s="181">
        <f>ROUND(Tdrybulb * ATAN(0.151977 * SQRT(RelatHum+8.313659)) + ATAN(Tdrybulb+RelatHum) - ATAN(RelatHum-1.676331) + 0.00391838 * RelatHum^1.5 * ATAN(0.023101*RelatHum) - 4.686035,2)</f>
        <v>12.32</v>
      </c>
      <c r="F22" s="94" t="s">
        <v>288</v>
      </c>
      <c r="G22" s="94" t="s">
        <v>316</v>
      </c>
      <c r="H22" s="255">
        <v>-15</v>
      </c>
      <c r="I22" s="255">
        <v>30</v>
      </c>
      <c r="J22" s="94" t="s">
        <v>194</v>
      </c>
      <c r="K22" s="254" t="s">
        <v>331</v>
      </c>
      <c r="L22" s="196" t="s">
        <v>330</v>
      </c>
    </row>
    <row r="23" spans="1:12" ht="14.4" x14ac:dyDescent="0.3">
      <c r="A23" s="102" t="s">
        <v>196</v>
      </c>
      <c r="B23" s="94" t="s">
        <v>47</v>
      </c>
      <c r="C23" s="94" t="s">
        <v>254</v>
      </c>
      <c r="D23" s="94" t="s">
        <v>50</v>
      </c>
      <c r="E23" s="94">
        <v>2.1000000000000001E-2</v>
      </c>
      <c r="F23" s="94" t="s">
        <v>197</v>
      </c>
      <c r="G23" s="94" t="s">
        <v>35</v>
      </c>
      <c r="H23" s="255">
        <v>5.0000000000000001E-3</v>
      </c>
      <c r="I23" s="255">
        <v>0.05</v>
      </c>
      <c r="J23" s="94" t="s">
        <v>198</v>
      </c>
      <c r="K23" s="254" t="s">
        <v>248</v>
      </c>
      <c r="L23" s="196" t="s">
        <v>255</v>
      </c>
    </row>
    <row r="24" spans="1:12" ht="14.4" x14ac:dyDescent="0.3">
      <c r="A24" s="102" t="s">
        <v>199</v>
      </c>
      <c r="B24" s="94" t="s">
        <v>46</v>
      </c>
      <c r="C24" s="168" t="s">
        <v>256</v>
      </c>
      <c r="D24" s="94" t="s">
        <v>48</v>
      </c>
      <c r="E24" s="94">
        <v>8</v>
      </c>
      <c r="F24" s="94" t="s">
        <v>288</v>
      </c>
      <c r="G24" s="94" t="s">
        <v>35</v>
      </c>
      <c r="H24" s="255">
        <v>5</v>
      </c>
      <c r="I24" s="255">
        <v>30</v>
      </c>
      <c r="J24" s="94" t="s">
        <v>200</v>
      </c>
      <c r="K24" s="254" t="s">
        <v>339</v>
      </c>
      <c r="L24" s="196" t="s">
        <v>274</v>
      </c>
    </row>
    <row r="25" spans="1:12" ht="14.4" x14ac:dyDescent="0.3">
      <c r="A25" s="102" t="s">
        <v>201</v>
      </c>
      <c r="B25" s="94" t="s">
        <v>46</v>
      </c>
      <c r="C25" s="94" t="s">
        <v>257</v>
      </c>
      <c r="D25" s="94" t="s">
        <v>48</v>
      </c>
      <c r="E25" s="94">
        <v>5</v>
      </c>
      <c r="F25" s="94" t="s">
        <v>288</v>
      </c>
      <c r="G25" s="94" t="s">
        <v>35</v>
      </c>
      <c r="H25" s="255">
        <v>2</v>
      </c>
      <c r="I25" s="255">
        <v>15</v>
      </c>
      <c r="J25" s="94" t="s">
        <v>202</v>
      </c>
      <c r="K25" s="254" t="s">
        <v>339</v>
      </c>
      <c r="L25" s="196" t="s">
        <v>275</v>
      </c>
    </row>
    <row r="26" spans="1:12" ht="14.4" x14ac:dyDescent="0.3">
      <c r="A26" s="102" t="s">
        <v>203</v>
      </c>
      <c r="B26" s="94" t="s">
        <v>46</v>
      </c>
      <c r="C26" s="94" t="s">
        <v>258</v>
      </c>
      <c r="D26" s="94" t="s">
        <v>48</v>
      </c>
      <c r="E26" s="94">
        <v>2</v>
      </c>
      <c r="F26" s="94" t="s">
        <v>288</v>
      </c>
      <c r="G26" s="94" t="s">
        <v>35</v>
      </c>
      <c r="H26" s="255">
        <v>1</v>
      </c>
      <c r="I26" s="255">
        <v>10</v>
      </c>
      <c r="J26" s="94" t="s">
        <v>204</v>
      </c>
      <c r="K26" s="254" t="s">
        <v>339</v>
      </c>
      <c r="L26" s="196" t="s">
        <v>276</v>
      </c>
    </row>
    <row r="27" spans="1:12" ht="14.4" x14ac:dyDescent="0.3">
      <c r="A27" s="102" t="s">
        <v>205</v>
      </c>
      <c r="B27" s="94" t="s">
        <v>46</v>
      </c>
      <c r="C27" s="94" t="s">
        <v>57</v>
      </c>
      <c r="D27" s="94" t="s">
        <v>48</v>
      </c>
      <c r="E27" s="94">
        <v>40</v>
      </c>
      <c r="F27" s="94" t="s">
        <v>58</v>
      </c>
      <c r="G27" s="94" t="s">
        <v>35</v>
      </c>
      <c r="H27" s="254">
        <v>10</v>
      </c>
      <c r="I27" s="254">
        <v>60</v>
      </c>
      <c r="J27" s="94" t="s">
        <v>206</v>
      </c>
      <c r="K27" s="254" t="s">
        <v>339</v>
      </c>
      <c r="L27" s="196" t="s">
        <v>277</v>
      </c>
    </row>
    <row r="28" spans="1:12" ht="14.4" x14ac:dyDescent="0.3">
      <c r="A28" s="102" t="s">
        <v>207</v>
      </c>
      <c r="B28" s="94" t="s">
        <v>46</v>
      </c>
      <c r="C28" s="94" t="s">
        <v>208</v>
      </c>
      <c r="D28" s="94" t="s">
        <v>48</v>
      </c>
      <c r="E28" s="94">
        <v>0.06</v>
      </c>
      <c r="F28" s="94" t="s">
        <v>35</v>
      </c>
      <c r="G28" s="94" t="s">
        <v>35</v>
      </c>
      <c r="H28" s="254">
        <v>0.01</v>
      </c>
      <c r="I28" s="254">
        <v>0.15</v>
      </c>
      <c r="J28" s="94" t="s">
        <v>209</v>
      </c>
      <c r="K28" s="254" t="s">
        <v>339</v>
      </c>
      <c r="L28" s="196" t="s">
        <v>299</v>
      </c>
    </row>
    <row r="29" spans="1:12" ht="14.4" x14ac:dyDescent="0.3">
      <c r="A29" s="102" t="s">
        <v>210</v>
      </c>
      <c r="B29" s="94" t="s">
        <v>46</v>
      </c>
      <c r="C29" s="94" t="s">
        <v>211</v>
      </c>
      <c r="D29" s="94" t="s">
        <v>48</v>
      </c>
      <c r="E29" s="94">
        <v>596.20000000000005</v>
      </c>
      <c r="F29" s="94" t="s">
        <v>35</v>
      </c>
      <c r="G29" s="94" t="s">
        <v>35</v>
      </c>
      <c r="H29" s="254" t="s">
        <v>35</v>
      </c>
      <c r="I29" s="254" t="s">
        <v>35</v>
      </c>
      <c r="J29" s="94" t="s">
        <v>212</v>
      </c>
      <c r="K29" s="254" t="s">
        <v>339</v>
      </c>
      <c r="L29" s="196" t="s">
        <v>298</v>
      </c>
    </row>
    <row r="30" spans="1:12" ht="14.4" x14ac:dyDescent="0.3">
      <c r="A30" s="102" t="s">
        <v>213</v>
      </c>
      <c r="B30" s="94" t="s">
        <v>46</v>
      </c>
      <c r="C30" s="94" t="s">
        <v>214</v>
      </c>
      <c r="D30" s="94" t="s">
        <v>48</v>
      </c>
      <c r="E30" s="94">
        <v>575.4</v>
      </c>
      <c r="F30" s="94" t="s">
        <v>35</v>
      </c>
      <c r="G30" s="94" t="s">
        <v>35</v>
      </c>
      <c r="H30" s="254" t="s">
        <v>35</v>
      </c>
      <c r="I30" s="254" t="s">
        <v>35</v>
      </c>
      <c r="J30" s="94" t="s">
        <v>215</v>
      </c>
      <c r="K30" s="254" t="s">
        <v>339</v>
      </c>
      <c r="L30" s="196" t="s">
        <v>278</v>
      </c>
    </row>
    <row r="31" spans="1:12" ht="14.4" x14ac:dyDescent="0.3">
      <c r="A31" s="102" t="s">
        <v>216</v>
      </c>
      <c r="B31" s="94" t="s">
        <v>46</v>
      </c>
      <c r="C31" s="94" t="s">
        <v>249</v>
      </c>
      <c r="D31" s="94" t="s">
        <v>48</v>
      </c>
      <c r="E31" s="94">
        <f>Cool_Elec*Cool_Qmax</f>
        <v>2100</v>
      </c>
      <c r="F31" s="94" t="s">
        <v>34</v>
      </c>
      <c r="G31" s="94" t="s">
        <v>301</v>
      </c>
      <c r="H31" s="255">
        <f>H23*H19</f>
        <v>50</v>
      </c>
      <c r="I31" s="255">
        <f>I23*I19</f>
        <v>25000</v>
      </c>
      <c r="J31" s="94" t="s">
        <v>217</v>
      </c>
      <c r="K31" s="254" t="s">
        <v>339</v>
      </c>
      <c r="L31" s="196" t="s">
        <v>279</v>
      </c>
    </row>
    <row r="32" spans="1:12" ht="14.4" x14ac:dyDescent="0.3">
      <c r="A32" s="169" t="s">
        <v>253</v>
      </c>
      <c r="B32" s="94" t="s">
        <v>46</v>
      </c>
      <c r="C32" s="94" t="s">
        <v>250</v>
      </c>
      <c r="D32" s="94" t="s">
        <v>48</v>
      </c>
      <c r="E32" s="94">
        <f>Cool_Tout-Cool_Tin</f>
        <v>13.68</v>
      </c>
      <c r="F32" s="94" t="s">
        <v>137</v>
      </c>
      <c r="G32" s="94" t="s">
        <v>302</v>
      </c>
      <c r="H32" s="254">
        <f>H17-I16</f>
        <v>5</v>
      </c>
      <c r="I32" s="255">
        <f>I17-H16</f>
        <v>35</v>
      </c>
      <c r="J32" s="94" t="s">
        <v>310</v>
      </c>
      <c r="K32" s="254" t="s">
        <v>339</v>
      </c>
      <c r="L32" s="196" t="s">
        <v>251</v>
      </c>
    </row>
    <row r="33" spans="1:12" ht="14.4" x14ac:dyDescent="0.3">
      <c r="A33" s="102" t="s">
        <v>218</v>
      </c>
      <c r="B33" s="94" t="s">
        <v>46</v>
      </c>
      <c r="C33" s="168" t="s">
        <v>252</v>
      </c>
      <c r="D33" s="94" t="s">
        <v>48</v>
      </c>
      <c r="E33" s="181">
        <f>Cool_Tin-Twetbulb</f>
        <v>4</v>
      </c>
      <c r="F33" s="94" t="s">
        <v>137</v>
      </c>
      <c r="G33" s="94" t="s">
        <v>303</v>
      </c>
      <c r="H33" s="255">
        <v>0</v>
      </c>
      <c r="I33" s="255">
        <v>35</v>
      </c>
      <c r="J33" s="94" t="s">
        <v>219</v>
      </c>
      <c r="K33" s="254" t="s">
        <v>339</v>
      </c>
      <c r="L33" s="196" t="s">
        <v>332</v>
      </c>
    </row>
    <row r="34" spans="1:12" ht="14.4" x14ac:dyDescent="0.3">
      <c r="A34" s="169" t="s">
        <v>220</v>
      </c>
      <c r="B34" s="94" t="s">
        <v>46</v>
      </c>
      <c r="C34" s="94" t="s">
        <v>221</v>
      </c>
      <c r="D34" s="94" t="s">
        <v>48</v>
      </c>
      <c r="E34" s="94">
        <f>Cool_Qmax/cp_water/range*3600/1000</f>
        <v>6265.664160401003</v>
      </c>
      <c r="F34" s="94" t="s">
        <v>222</v>
      </c>
      <c r="G34" s="94" t="s">
        <v>304</v>
      </c>
      <c r="H34" s="255">
        <v>100</v>
      </c>
      <c r="I34" s="255">
        <v>20000</v>
      </c>
      <c r="J34" s="94" t="s">
        <v>223</v>
      </c>
      <c r="K34" s="254" t="s">
        <v>339</v>
      </c>
      <c r="L34" s="196" t="s">
        <v>280</v>
      </c>
    </row>
    <row r="35" spans="1:12" ht="14.4" x14ac:dyDescent="0.3">
      <c r="A35" s="102" t="s">
        <v>224</v>
      </c>
      <c r="B35" s="94" t="s">
        <v>46</v>
      </c>
      <c r="C35" s="94" t="s">
        <v>225</v>
      </c>
      <c r="D35" s="94" t="s">
        <v>48</v>
      </c>
      <c r="E35" s="94">
        <f>water_flow*1</f>
        <v>6265.664160401003</v>
      </c>
      <c r="F35" s="94" t="s">
        <v>229</v>
      </c>
      <c r="G35" s="94" t="s">
        <v>305</v>
      </c>
      <c r="H35" s="255">
        <f>H34</f>
        <v>100</v>
      </c>
      <c r="I35" s="255">
        <f>I34</f>
        <v>20000</v>
      </c>
      <c r="J35" s="94" t="s">
        <v>226</v>
      </c>
      <c r="K35" s="254" t="s">
        <v>339</v>
      </c>
      <c r="L35" s="198" t="s">
        <v>281</v>
      </c>
    </row>
    <row r="36" spans="1:12" ht="14.4" x14ac:dyDescent="0.3">
      <c r="A36" s="102" t="s">
        <v>227</v>
      </c>
      <c r="B36" s="94" t="s">
        <v>46</v>
      </c>
      <c r="C36" s="94" t="s">
        <v>228</v>
      </c>
      <c r="D36" s="94" t="s">
        <v>48</v>
      </c>
      <c r="E36" s="94">
        <f>0.00085*1.8*water_vflow*(Cool_Tout-Cool_Tin)</f>
        <v>131.14285714285714</v>
      </c>
      <c r="F36" s="94" t="s">
        <v>229</v>
      </c>
      <c r="G36" s="94" t="s">
        <v>306</v>
      </c>
      <c r="H36" s="255">
        <v>1</v>
      </c>
      <c r="I36" s="255">
        <v>500</v>
      </c>
      <c r="J36" s="94" t="s">
        <v>230</v>
      </c>
      <c r="K36" s="254" t="s">
        <v>339</v>
      </c>
      <c r="L36" s="198" t="s">
        <v>282</v>
      </c>
    </row>
    <row r="37" spans="1:12" ht="14.4" x14ac:dyDescent="0.3">
      <c r="A37" s="102" t="s">
        <v>231</v>
      </c>
      <c r="B37" s="94" t="s">
        <v>46</v>
      </c>
      <c r="C37" s="94" t="s">
        <v>231</v>
      </c>
      <c r="D37" s="94" t="s">
        <v>48</v>
      </c>
      <c r="E37" s="94">
        <f>(i*(i+1)^n)/((i+1)^n-1)</f>
        <v>6.6461535920675496E-2</v>
      </c>
      <c r="F37" s="94" t="s">
        <v>35</v>
      </c>
      <c r="G37" s="94" t="s">
        <v>307</v>
      </c>
      <c r="H37" s="254">
        <v>0.01</v>
      </c>
      <c r="I37" s="254">
        <v>0.2</v>
      </c>
      <c r="J37" s="94" t="s">
        <v>232</v>
      </c>
      <c r="K37" s="254" t="s">
        <v>339</v>
      </c>
      <c r="L37" s="198" t="s">
        <v>283</v>
      </c>
    </row>
    <row r="38" spans="1:12" ht="14.4" x14ac:dyDescent="0.3">
      <c r="A38" s="102" t="s">
        <v>233</v>
      </c>
      <c r="B38" s="94" t="s">
        <v>46</v>
      </c>
      <c r="C38" s="94" t="s">
        <v>259</v>
      </c>
      <c r="D38" s="94" t="s">
        <v>48</v>
      </c>
      <c r="E38" s="181">
        <f>746.49/0.066*(water_flow^0.79)*(range^0.57)*((approach)^(-0.9924))*(0.022*Twetbulb+0.39)^2.447</f>
        <v>4605386.645433776</v>
      </c>
      <c r="F38" s="94" t="s">
        <v>234</v>
      </c>
      <c r="G38" s="94" t="s">
        <v>308</v>
      </c>
      <c r="H38" s="257">
        <v>1000000</v>
      </c>
      <c r="I38" s="257">
        <v>100000000</v>
      </c>
      <c r="J38" s="94" t="s">
        <v>235</v>
      </c>
      <c r="K38" s="254" t="s">
        <v>339</v>
      </c>
      <c r="L38" s="197" t="s">
        <v>259</v>
      </c>
    </row>
    <row r="39" spans="1:12" thickBot="1" x14ac:dyDescent="0.35">
      <c r="A39" s="103" t="s">
        <v>236</v>
      </c>
      <c r="B39" s="104" t="s">
        <v>46</v>
      </c>
      <c r="C39" s="104" t="s">
        <v>260</v>
      </c>
      <c r="D39" s="104" t="s">
        <v>48</v>
      </c>
      <c r="E39" s="182">
        <f>CTCost*(CEPCI_2020/CEPCI_2008)*Annuity</f>
        <v>317145.52296245075</v>
      </c>
      <c r="F39" s="104" t="s">
        <v>237</v>
      </c>
      <c r="G39" s="104" t="s">
        <v>309</v>
      </c>
      <c r="H39" s="258">
        <v>100000</v>
      </c>
      <c r="I39" s="258">
        <v>10000000</v>
      </c>
      <c r="J39" s="104" t="s">
        <v>238</v>
      </c>
      <c r="K39" s="259" t="s">
        <v>339</v>
      </c>
      <c r="L39" s="199" t="s">
        <v>260</v>
      </c>
    </row>
  </sheetData>
  <conditionalFormatting sqref="L16:L18 L20:L37">
    <cfRule type="containsBlanks" dxfId="0" priority="1">
      <formula>LEN(TRIM(L16))=0</formula>
    </cfRule>
  </conditionalFormatting>
  <dataValidations count="2">
    <dataValidation type="list" errorStyle="information" allowBlank="1" showInputMessage="1" showErrorMessage="1" sqref="B16 B28 B17 B34 B18 B29 B19 B37 B20 B30 B21 B35 B22 B31 B23 B39 B24 B32 B25 B36 B26 B33 B27 B38" xr:uid="{688BEC05-8FB0-40DB-82D4-75AAB99FBB88}">
      <formula1>"CONTEXT,LITERATURE,MEASURED,DECISION"</formula1>
    </dataValidation>
    <dataValidation type="list" errorStyle="information" allowBlank="1" showInputMessage="1" showErrorMessage="1" sqref="F17:F39 F16" xr:uid="{79C86C54-E3A5-4F5E-AAAC-C670C8B91FAB}">
      <formula1>"-,kg,s,m,K,°C,W,bar,kg/h,t/h,kW,kW/m2K,W/m2K,kJ/kgK,kJ/kg,m3/h,%,eur,eur/y,kWel/kWth,year"</formula1>
    </dataValidation>
  </dataValidations>
  <pageMargins left="0.7" right="0.7" top="0.75" bottom="0.75" header="0" footer="0"/>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U40"/>
  <sheetViews>
    <sheetView showGridLines="0" topLeftCell="A27" zoomScale="55" zoomScaleNormal="55" workbookViewId="0">
      <selection activeCell="H45" sqref="H45"/>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14" ht="14.25" customHeight="1" thickBot="1" x14ac:dyDescent="0.35">
      <c r="A1" s="80" t="s">
        <v>63</v>
      </c>
      <c r="B1" s="66"/>
      <c r="C1" s="66"/>
      <c r="D1" s="22"/>
      <c r="E1" s="23"/>
      <c r="F1" s="23"/>
      <c r="G1" s="23"/>
      <c r="H1" s="23"/>
      <c r="I1" s="6"/>
      <c r="J1" s="6"/>
      <c r="K1" s="7"/>
      <c r="L1" s="7"/>
      <c r="M1" s="7"/>
      <c r="N1" s="7"/>
    </row>
    <row r="2" spans="1:14" ht="33.6" customHeight="1" thickBot="1" x14ac:dyDescent="0.35">
      <c r="A2" s="204" t="s">
        <v>333</v>
      </c>
      <c r="B2" s="66"/>
      <c r="C2" s="66"/>
      <c r="D2" s="22"/>
      <c r="E2" s="23"/>
      <c r="F2" s="23"/>
      <c r="G2" s="23"/>
      <c r="H2" s="23"/>
      <c r="I2" s="6"/>
      <c r="J2" s="6"/>
      <c r="K2" s="7"/>
      <c r="L2" s="7"/>
      <c r="M2" s="7"/>
      <c r="N2" s="7"/>
    </row>
    <row r="3" spans="1:14" ht="14.25" customHeight="1" thickBot="1" x14ac:dyDescent="0.35">
      <c r="D3" s="22"/>
      <c r="E3" s="23"/>
      <c r="F3" s="23"/>
      <c r="G3" s="23"/>
      <c r="H3" s="23"/>
      <c r="I3" s="6"/>
      <c r="J3" s="6"/>
      <c r="K3" s="7"/>
      <c r="L3" s="7"/>
      <c r="M3" s="7"/>
      <c r="N3" s="7"/>
    </row>
    <row r="4" spans="1:14" thickBot="1" x14ac:dyDescent="0.35">
      <c r="A4" s="67"/>
      <c r="B4" s="24"/>
      <c r="C4" s="24"/>
      <c r="D4" s="6"/>
      <c r="E4" s="25"/>
      <c r="F4" s="25"/>
      <c r="G4" s="25"/>
      <c r="H4" s="26"/>
      <c r="I4" s="27"/>
      <c r="J4" s="27"/>
      <c r="K4" s="27"/>
      <c r="L4" s="27"/>
      <c r="M4" s="27"/>
      <c r="N4" s="27"/>
    </row>
    <row r="5" spans="1:14" thickBot="1" x14ac:dyDescent="0.35">
      <c r="A5" s="209" t="s">
        <v>65</v>
      </c>
      <c r="B5" s="210" t="s">
        <v>67</v>
      </c>
      <c r="C5" s="211" t="s">
        <v>66</v>
      </c>
      <c r="D5" s="47" t="s">
        <v>173</v>
      </c>
      <c r="E5" s="31"/>
      <c r="F5" s="31"/>
      <c r="G5" s="31"/>
      <c r="H5" s="29"/>
      <c r="I5" s="7"/>
      <c r="J5" s="7"/>
      <c r="K5" s="7"/>
      <c r="L5" s="7"/>
      <c r="M5" s="7"/>
      <c r="N5" s="7"/>
    </row>
    <row r="6" spans="1:14" thickBot="1" x14ac:dyDescent="0.35">
      <c r="A6" s="74" t="s">
        <v>242</v>
      </c>
      <c r="B6" s="207">
        <v>0</v>
      </c>
      <c r="C6" s="208">
        <v>100</v>
      </c>
      <c r="D6" s="32"/>
      <c r="E6" s="33"/>
      <c r="F6" s="34"/>
      <c r="G6" s="34"/>
      <c r="H6" s="35"/>
      <c r="I6" s="23"/>
      <c r="J6" s="23"/>
      <c r="K6" s="23"/>
      <c r="L6" s="23"/>
      <c r="M6" s="23"/>
      <c r="N6" s="23"/>
    </row>
    <row r="7" spans="1:14" thickBot="1" x14ac:dyDescent="0.35">
      <c r="A7" s="36"/>
      <c r="B7" s="37"/>
      <c r="C7" s="37"/>
      <c r="D7" s="38"/>
      <c r="E7" s="5"/>
      <c r="F7" s="25"/>
      <c r="G7" s="25"/>
      <c r="H7" s="26"/>
      <c r="I7" s="25"/>
      <c r="J7" s="25"/>
      <c r="K7" s="25"/>
      <c r="L7" s="25"/>
      <c r="M7" s="25"/>
      <c r="N7" s="25"/>
    </row>
    <row r="8" spans="1:14" ht="17.25" customHeight="1" thickBot="1" x14ac:dyDescent="0.35">
      <c r="A8" s="88" t="s">
        <v>64</v>
      </c>
      <c r="B8" s="66"/>
      <c r="C8" s="66"/>
      <c r="D8" s="26"/>
      <c r="E8" s="5"/>
      <c r="F8" s="25"/>
      <c r="G8" s="25"/>
      <c r="H8" s="26"/>
      <c r="I8" s="25"/>
      <c r="J8" s="25"/>
      <c r="K8" s="25"/>
      <c r="L8" s="25"/>
      <c r="M8" s="25"/>
      <c r="N8" s="25"/>
    </row>
    <row r="9" spans="1:14" ht="61.2" customHeight="1" thickBot="1" x14ac:dyDescent="0.35">
      <c r="A9" s="206" t="s">
        <v>287</v>
      </c>
      <c r="B9" s="66"/>
      <c r="C9" s="66"/>
      <c r="D9" s="5"/>
      <c r="E9" s="5"/>
      <c r="F9" s="25"/>
      <c r="G9" s="25"/>
      <c r="H9" s="26"/>
      <c r="I9" s="25"/>
      <c r="J9" s="25"/>
      <c r="K9" s="25"/>
      <c r="L9" s="25"/>
      <c r="M9" s="25"/>
      <c r="N9" s="25"/>
    </row>
    <row r="10" spans="1:14" thickBot="1" x14ac:dyDescent="0.35">
      <c r="A10" s="205"/>
      <c r="B10" s="25"/>
      <c r="C10" s="25"/>
      <c r="D10" s="5"/>
      <c r="E10" s="5"/>
      <c r="F10" s="25"/>
      <c r="G10" s="25"/>
      <c r="H10" s="26"/>
      <c r="I10" s="25"/>
      <c r="J10" s="25"/>
      <c r="K10" s="25"/>
      <c r="L10" s="25"/>
      <c r="M10" s="25"/>
      <c r="N10" s="25"/>
    </row>
    <row r="11" spans="1:14" thickBot="1" x14ac:dyDescent="0.35">
      <c r="A11" s="39" t="s">
        <v>76</v>
      </c>
      <c r="B11" s="25"/>
      <c r="C11" s="25"/>
      <c r="D11" s="5"/>
      <c r="E11" s="5"/>
      <c r="F11" s="25"/>
      <c r="G11" s="25"/>
      <c r="H11" s="26"/>
      <c r="I11" s="25"/>
      <c r="J11" s="25"/>
      <c r="K11" s="25"/>
      <c r="L11" s="25"/>
      <c r="M11" s="25"/>
      <c r="N11" s="25"/>
    </row>
    <row r="12" spans="1:14" thickBot="1" x14ac:dyDescent="0.35">
      <c r="A12" s="40" t="s">
        <v>75</v>
      </c>
      <c r="B12" s="41"/>
      <c r="D12" s="41"/>
      <c r="E12" s="41"/>
      <c r="F12" s="41"/>
      <c r="G12" s="41"/>
      <c r="H12" s="41"/>
      <c r="I12" s="42"/>
      <c r="J12" s="41"/>
      <c r="K12" s="41"/>
      <c r="L12" s="41"/>
      <c r="M12" s="28"/>
      <c r="N12" s="28"/>
    </row>
    <row r="13" spans="1:14" ht="19.5" customHeight="1" thickBot="1" x14ac:dyDescent="0.35">
      <c r="A13" s="69" t="s">
        <v>2</v>
      </c>
      <c r="B13" s="70"/>
      <c r="C13" s="70"/>
      <c r="D13" s="70"/>
      <c r="E13" s="70"/>
      <c r="F13" s="70"/>
      <c r="G13" s="70"/>
      <c r="H13" s="70"/>
      <c r="I13" s="70"/>
      <c r="J13" s="70"/>
      <c r="K13" s="70"/>
      <c r="L13" s="73"/>
      <c r="M13" s="73"/>
      <c r="N13" s="84"/>
    </row>
    <row r="14" spans="1:14" thickBot="1" x14ac:dyDescent="0.35">
      <c r="A14" s="97" t="s">
        <v>17</v>
      </c>
      <c r="B14" s="98" t="s">
        <v>18</v>
      </c>
      <c r="C14" s="98" t="s">
        <v>51</v>
      </c>
      <c r="D14" s="98" t="s">
        <v>170</v>
      </c>
      <c r="E14" s="98" t="s">
        <v>171</v>
      </c>
      <c r="F14" s="98" t="s">
        <v>168</v>
      </c>
      <c r="G14" s="99" t="s">
        <v>21</v>
      </c>
      <c r="H14" s="98" t="s">
        <v>169</v>
      </c>
      <c r="I14" s="98" t="s">
        <v>23</v>
      </c>
      <c r="J14" s="98" t="s">
        <v>24</v>
      </c>
      <c r="K14" s="98" t="s">
        <v>25</v>
      </c>
      <c r="L14" s="139" t="s">
        <v>26</v>
      </c>
      <c r="M14" s="139" t="s">
        <v>142</v>
      </c>
      <c r="N14" s="123" t="s">
        <v>15</v>
      </c>
    </row>
    <row r="15" spans="1:14" ht="14.4" x14ac:dyDescent="0.3">
      <c r="A15" s="147" t="s">
        <v>33</v>
      </c>
      <c r="B15" s="148" t="s">
        <v>33</v>
      </c>
      <c r="C15" s="148" t="s">
        <v>53</v>
      </c>
      <c r="D15" s="149">
        <f>VARIABLES!E31</f>
        <v>2100</v>
      </c>
      <c r="E15" s="148" t="str">
        <f>VARIABLES!$F$31</f>
        <v>kW</v>
      </c>
      <c r="F15" s="148" t="s">
        <v>35</v>
      </c>
      <c r="G15" s="154" t="s">
        <v>35</v>
      </c>
      <c r="H15" s="148" t="s">
        <v>35</v>
      </c>
      <c r="I15" s="154" t="s">
        <v>35</v>
      </c>
      <c r="J15" s="148" t="s">
        <v>35</v>
      </c>
      <c r="K15" s="148" t="s">
        <v>35</v>
      </c>
      <c r="L15" s="148" t="s">
        <v>35</v>
      </c>
      <c r="M15" s="122" t="s">
        <v>144</v>
      </c>
      <c r="N15" s="135" t="s">
        <v>244</v>
      </c>
    </row>
    <row r="16" spans="1:14" thickBot="1" x14ac:dyDescent="0.35">
      <c r="A16" s="150" t="s">
        <v>31</v>
      </c>
      <c r="B16" s="151" t="s">
        <v>27</v>
      </c>
      <c r="C16" s="151" t="s">
        <v>53</v>
      </c>
      <c r="D16" s="152">
        <f>VARIABLES!E36</f>
        <v>131.14285714285714</v>
      </c>
      <c r="E16" s="151" t="str">
        <f>VARIABLES!$F$36</f>
        <v>m3/h</v>
      </c>
      <c r="F16" s="138">
        <f>CONNECTORS!E6</f>
        <v>25</v>
      </c>
      <c r="G16" s="212" t="s">
        <v>288</v>
      </c>
      <c r="H16" s="151">
        <v>1</v>
      </c>
      <c r="I16" s="153" t="s">
        <v>29</v>
      </c>
      <c r="J16" s="153">
        <v>-1</v>
      </c>
      <c r="K16" s="155" t="s">
        <v>30</v>
      </c>
      <c r="L16" s="155" t="s">
        <v>32</v>
      </c>
      <c r="M16" s="200" t="s">
        <v>144</v>
      </c>
      <c r="N16" s="156" t="s">
        <v>245</v>
      </c>
    </row>
    <row r="18" spans="1:21" thickBot="1" x14ac:dyDescent="0.35">
      <c r="A18" s="90" t="s">
        <v>73</v>
      </c>
      <c r="C18" s="66"/>
      <c r="D18" s="22"/>
      <c r="E18" s="23"/>
      <c r="F18" s="23"/>
      <c r="G18" s="23"/>
      <c r="H18" s="23"/>
      <c r="I18" s="6"/>
      <c r="J18" s="6"/>
      <c r="K18" s="7"/>
      <c r="L18" s="7"/>
      <c r="M18" s="7"/>
      <c r="N18" s="7"/>
      <c r="O18" s="1"/>
      <c r="P18" s="1"/>
      <c r="Q18" s="1"/>
      <c r="R18" s="1"/>
      <c r="S18" s="1"/>
      <c r="T18" s="1"/>
      <c r="U18" s="1"/>
    </row>
    <row r="19" spans="1:21" ht="29.4" thickBot="1" x14ac:dyDescent="0.35">
      <c r="A19" s="89" t="s">
        <v>246</v>
      </c>
      <c r="C19" s="66"/>
      <c r="D19" s="22"/>
      <c r="E19" s="23"/>
      <c r="F19" s="23"/>
      <c r="G19" s="23"/>
      <c r="H19" s="23"/>
      <c r="I19" s="6"/>
      <c r="J19" s="6"/>
      <c r="K19" s="7"/>
      <c r="L19" s="7"/>
      <c r="M19" s="7"/>
      <c r="N19" s="7"/>
      <c r="O19" s="1"/>
      <c r="P19" s="1"/>
      <c r="Q19" s="1"/>
      <c r="R19" s="1"/>
      <c r="S19" s="1"/>
      <c r="T19" s="1"/>
      <c r="U19" s="1"/>
    </row>
    <row r="20" spans="1:21" thickBot="1" x14ac:dyDescent="0.35">
      <c r="A20" s="45"/>
      <c r="B20" s="25"/>
      <c r="C20" s="25"/>
      <c r="D20" s="25"/>
      <c r="E20" s="5"/>
      <c r="F20" s="43"/>
      <c r="G20" s="43"/>
      <c r="H20" s="43"/>
      <c r="I20" s="43"/>
      <c r="J20" s="5"/>
      <c r="K20" s="26"/>
      <c r="L20" s="25"/>
      <c r="M20" s="25"/>
      <c r="N20" s="25"/>
      <c r="O20" s="1"/>
      <c r="P20" s="1"/>
      <c r="Q20" s="1"/>
      <c r="R20" s="1"/>
      <c r="S20" s="1"/>
      <c r="T20" s="1"/>
      <c r="U20" s="1"/>
    </row>
    <row r="21" spans="1:21" thickBot="1" x14ac:dyDescent="0.35">
      <c r="A21" s="71" t="s">
        <v>54</v>
      </c>
      <c r="B21" s="72"/>
      <c r="C21" s="72"/>
      <c r="D21" s="72"/>
      <c r="E21" s="72"/>
      <c r="F21" s="72"/>
      <c r="G21" s="72"/>
      <c r="H21" s="72"/>
      <c r="I21" s="72"/>
      <c r="J21" s="72"/>
      <c r="K21" s="72"/>
      <c r="L21" s="72"/>
      <c r="M21" s="72"/>
      <c r="N21" s="72"/>
      <c r="O21" s="72"/>
      <c r="P21" s="72"/>
      <c r="Q21" s="72"/>
      <c r="R21" s="72"/>
      <c r="S21" s="72"/>
      <c r="T21" s="72"/>
      <c r="U21" s="84"/>
    </row>
    <row r="22" spans="1:21" thickBot="1" x14ac:dyDescent="0.35">
      <c r="A22" s="157" t="s">
        <v>69</v>
      </c>
      <c r="B22" s="158" t="s">
        <v>18</v>
      </c>
      <c r="C22" s="158" t="s">
        <v>129</v>
      </c>
      <c r="D22" s="159" t="s">
        <v>125</v>
      </c>
      <c r="E22" s="158" t="s">
        <v>130</v>
      </c>
      <c r="F22" s="158" t="s">
        <v>126</v>
      </c>
      <c r="G22" s="158" t="s">
        <v>131</v>
      </c>
      <c r="H22" s="158" t="s">
        <v>132</v>
      </c>
      <c r="I22" s="158" t="s">
        <v>133</v>
      </c>
      <c r="J22" s="158" t="s">
        <v>127</v>
      </c>
      <c r="K22" s="158" t="s">
        <v>134</v>
      </c>
      <c r="L22" s="158" t="s">
        <v>128</v>
      </c>
      <c r="M22" s="158" t="s">
        <v>135</v>
      </c>
      <c r="N22" s="158" t="s">
        <v>136</v>
      </c>
      <c r="O22" s="158" t="s">
        <v>138</v>
      </c>
      <c r="P22" s="158" t="s">
        <v>139</v>
      </c>
      <c r="Q22" s="158" t="s">
        <v>140</v>
      </c>
      <c r="R22" s="158" t="s">
        <v>141</v>
      </c>
      <c r="S22" s="160" t="s">
        <v>68</v>
      </c>
      <c r="T22" s="160" t="s">
        <v>142</v>
      </c>
      <c r="U22" s="123" t="s">
        <v>15</v>
      </c>
    </row>
    <row r="23" spans="1:21" ht="14.25" customHeight="1" thickBot="1" x14ac:dyDescent="0.35">
      <c r="A23" s="178" t="s">
        <v>247</v>
      </c>
      <c r="B23" s="163" t="s">
        <v>334</v>
      </c>
      <c r="C23" s="164">
        <f>VARIABLES!E16</f>
        <v>16.32</v>
      </c>
      <c r="D23" s="165" t="str">
        <f>VARIABLES!$F$16</f>
        <v>°C</v>
      </c>
      <c r="E23" s="164">
        <f>VARIABLES!E17</f>
        <v>30</v>
      </c>
      <c r="F23" s="165" t="str">
        <f>VARIABLES!$F$17</f>
        <v>°C</v>
      </c>
      <c r="G23" s="166">
        <v>0</v>
      </c>
      <c r="H23" s="165" t="s">
        <v>34</v>
      </c>
      <c r="I23" s="166">
        <f>VARIABLES!E19</f>
        <v>100000</v>
      </c>
      <c r="J23" s="165" t="str">
        <f>VARIABLES!$F$19</f>
        <v>kW</v>
      </c>
      <c r="K23" s="186">
        <f>VARIABLES!E18</f>
        <v>4.2</v>
      </c>
      <c r="L23" s="167" t="str">
        <f>VARIABLES!$F$18</f>
        <v>kJ/kgK</v>
      </c>
      <c r="M23" s="186">
        <f>VARIABLES!E35</f>
        <v>6265.664160401003</v>
      </c>
      <c r="N23" s="203" t="str">
        <f>VARIABLES!$F$34</f>
        <v>t/h</v>
      </c>
      <c r="O23" s="163">
        <f>VARIABLES!E25</f>
        <v>5</v>
      </c>
      <c r="P23" s="165" t="str">
        <f>VARIABLES!$F$25</f>
        <v>°C</v>
      </c>
      <c r="Q23" s="166">
        <v>1</v>
      </c>
      <c r="R23" s="167" t="s">
        <v>49</v>
      </c>
      <c r="S23" s="186" t="s">
        <v>289</v>
      </c>
      <c r="T23" s="186" t="s">
        <v>143</v>
      </c>
      <c r="U23" s="201" t="s">
        <v>285</v>
      </c>
    </row>
    <row r="24" spans="1:21" ht="39.450000000000003" customHeight="1" thickBot="1" x14ac:dyDescent="0.35">
      <c r="A24" s="161"/>
      <c r="B24" s="161"/>
      <c r="C24" s="161"/>
      <c r="D24" s="161"/>
      <c r="E24" s="161"/>
      <c r="F24" s="161"/>
      <c r="G24" s="161"/>
      <c r="H24" s="161"/>
      <c r="I24" s="161"/>
      <c r="J24" s="161"/>
      <c r="K24" s="161"/>
      <c r="L24" s="162"/>
      <c r="M24" s="162"/>
      <c r="N24" s="162"/>
      <c r="O24" s="61"/>
      <c r="P24" s="61"/>
      <c r="Q24" s="61"/>
      <c r="R24" s="61"/>
      <c r="S24" s="61"/>
      <c r="T24" s="61"/>
      <c r="U24" s="61"/>
    </row>
    <row r="25" spans="1:21" thickBot="1" x14ac:dyDescent="0.35">
      <c r="A25" s="92" t="s">
        <v>61</v>
      </c>
      <c r="B25" s="66"/>
      <c r="C25" s="66"/>
      <c r="D25" s="22"/>
      <c r="E25" s="23"/>
      <c r="F25" s="23"/>
      <c r="G25" s="23"/>
      <c r="H25" s="23"/>
      <c r="I25" s="68"/>
      <c r="J25" s="6"/>
      <c r="K25" s="7"/>
      <c r="L25" s="66"/>
      <c r="M25" s="66"/>
      <c r="N25" s="66"/>
      <c r="O25" s="23"/>
      <c r="P25" s="23"/>
      <c r="Q25" s="23"/>
      <c r="R25" s="23"/>
      <c r="S25" s="23"/>
      <c r="T25" s="23"/>
      <c r="U25" s="23"/>
    </row>
    <row r="26" spans="1:21" ht="29.4" thickBot="1" x14ac:dyDescent="0.35">
      <c r="A26" s="202" t="s">
        <v>295</v>
      </c>
      <c r="B26" s="66"/>
      <c r="C26" s="66"/>
      <c r="D26" s="22"/>
      <c r="E26" s="23"/>
      <c r="F26" s="23"/>
      <c r="G26" s="23"/>
      <c r="H26" s="23"/>
      <c r="I26" s="6"/>
      <c r="J26" s="6"/>
      <c r="K26" s="7"/>
      <c r="L26" s="66"/>
      <c r="M26" s="66"/>
      <c r="N26" s="66"/>
      <c r="O26" s="23"/>
      <c r="P26" s="23"/>
      <c r="Q26" s="23"/>
      <c r="R26" s="23"/>
      <c r="S26" s="23"/>
      <c r="T26" s="23"/>
      <c r="U26" s="23"/>
    </row>
    <row r="27" spans="1:21" thickBot="1" x14ac:dyDescent="0.35">
      <c r="A27" s="48"/>
      <c r="B27" s="41"/>
      <c r="C27" s="41"/>
      <c r="D27" s="41"/>
      <c r="E27" s="49"/>
      <c r="F27" s="28"/>
      <c r="G27" s="28"/>
      <c r="H27" s="28"/>
      <c r="I27" s="28"/>
      <c r="J27" s="31"/>
      <c r="K27" s="31"/>
      <c r="L27" s="31"/>
      <c r="M27" s="46"/>
      <c r="O27" s="31"/>
      <c r="P27" s="31"/>
      <c r="Q27" s="31"/>
      <c r="R27" s="31"/>
      <c r="S27" s="31"/>
      <c r="T27" s="31"/>
      <c r="U27" s="31"/>
    </row>
    <row r="28" spans="1:21" thickBot="1" x14ac:dyDescent="0.35">
      <c r="A28" s="117" t="s">
        <v>56</v>
      </c>
      <c r="B28" s="118"/>
      <c r="C28" s="118"/>
      <c r="D28" s="118"/>
      <c r="E28" s="118"/>
      <c r="F28" s="118"/>
      <c r="G28" s="119"/>
      <c r="H28" s="50" t="s">
        <v>145</v>
      </c>
      <c r="I28" s="31"/>
      <c r="J28" s="31"/>
      <c r="K28" s="31"/>
      <c r="L28" s="31"/>
      <c r="M28" s="31"/>
      <c r="N28" s="28"/>
      <c r="O28" s="31"/>
      <c r="P28" s="31"/>
      <c r="Q28" s="31"/>
      <c r="R28" s="31"/>
      <c r="S28" s="31"/>
      <c r="T28" s="31"/>
      <c r="U28" s="31"/>
    </row>
    <row r="29" spans="1:21" ht="15.75" customHeight="1" thickBot="1" x14ac:dyDescent="0.35">
      <c r="A29" s="172" t="s">
        <v>69</v>
      </c>
      <c r="B29" s="173" t="s">
        <v>18</v>
      </c>
      <c r="C29" s="173" t="s">
        <v>123</v>
      </c>
      <c r="D29" s="173" t="s">
        <v>124</v>
      </c>
      <c r="E29" s="173" t="s">
        <v>70</v>
      </c>
      <c r="F29" s="173" t="s">
        <v>52</v>
      </c>
      <c r="G29" s="175" t="s">
        <v>172</v>
      </c>
      <c r="H29" s="52"/>
      <c r="I29" s="51"/>
      <c r="J29" s="53"/>
      <c r="K29" s="34"/>
      <c r="L29" s="34"/>
      <c r="M29" s="34"/>
      <c r="N29" s="31"/>
      <c r="O29" s="31"/>
      <c r="P29" s="31"/>
      <c r="Q29" s="31"/>
      <c r="R29" s="31"/>
      <c r="S29" s="31"/>
      <c r="T29" s="31"/>
      <c r="U29" s="31"/>
    </row>
    <row r="30" spans="1:21" s="220" customFormat="1" ht="15.75" customHeight="1" thickBot="1" x14ac:dyDescent="0.35">
      <c r="A30" s="239" t="s">
        <v>293</v>
      </c>
      <c r="B30" s="240" t="s">
        <v>290</v>
      </c>
      <c r="C30" s="240" t="s">
        <v>291</v>
      </c>
      <c r="D30" s="241" t="s">
        <v>292</v>
      </c>
      <c r="E30" s="242" t="s">
        <v>57</v>
      </c>
      <c r="F30" s="243">
        <f>VARIABLES!E27</f>
        <v>40</v>
      </c>
      <c r="G30" s="244" t="s">
        <v>58</v>
      </c>
      <c r="H30" s="218"/>
      <c r="I30" s="218"/>
      <c r="J30" s="218"/>
      <c r="K30" s="219"/>
      <c r="L30" s="219"/>
      <c r="M30" s="219"/>
      <c r="N30" s="219"/>
      <c r="O30" s="219"/>
      <c r="P30" s="219"/>
      <c r="Q30" s="219"/>
      <c r="R30" s="219"/>
      <c r="S30" s="219"/>
      <c r="T30" s="219"/>
      <c r="U30" s="219"/>
    </row>
    <row r="31" spans="1:21" ht="15.75" customHeight="1" thickBot="1" x14ac:dyDescent="0.35">
      <c r="A31" s="245"/>
      <c r="B31" s="246"/>
      <c r="C31" s="246"/>
      <c r="D31" s="247"/>
      <c r="E31" s="246" t="s">
        <v>208</v>
      </c>
      <c r="F31" s="246">
        <f>VARIABLES!E28</f>
        <v>0.06</v>
      </c>
      <c r="G31" s="248" t="s">
        <v>35</v>
      </c>
      <c r="H31" s="52"/>
      <c r="I31" s="54"/>
      <c r="J31" s="23"/>
      <c r="K31" s="25"/>
      <c r="L31" s="25"/>
      <c r="M31" s="25"/>
      <c r="N31" s="30"/>
      <c r="O31" s="31"/>
      <c r="P31" s="31"/>
      <c r="Q31" s="31"/>
      <c r="R31" s="31"/>
      <c r="S31" s="31"/>
      <c r="T31" s="31"/>
      <c r="U31" s="31"/>
    </row>
    <row r="32" spans="1:21" ht="15.75" customHeight="1" thickBot="1" x14ac:dyDescent="0.35">
      <c r="A32" s="245"/>
      <c r="B32" s="246"/>
      <c r="C32" s="246"/>
      <c r="D32" s="247"/>
      <c r="E32" s="246" t="s">
        <v>259</v>
      </c>
      <c r="F32" s="246">
        <f>VARIABLES!E38</f>
        <v>4605386.645433776</v>
      </c>
      <c r="G32" s="248" t="str">
        <f>VARIABLES!$F$38</f>
        <v>Eur</v>
      </c>
      <c r="H32" s="214"/>
      <c r="I32" s="214"/>
      <c r="J32" s="23"/>
      <c r="K32" s="25"/>
      <c r="L32" s="25"/>
      <c r="M32" s="25"/>
      <c r="N32" s="161"/>
      <c r="O32" s="161"/>
      <c r="P32" s="161"/>
      <c r="Q32" s="161"/>
      <c r="R32" s="161"/>
      <c r="S32" s="161"/>
      <c r="T32" s="161"/>
      <c r="U32" s="161"/>
    </row>
    <row r="33" spans="1:8" ht="15.75" customHeight="1" thickBot="1" x14ac:dyDescent="0.35">
      <c r="A33" s="249"/>
      <c r="B33" s="250"/>
      <c r="C33" s="250"/>
      <c r="D33" s="251"/>
      <c r="E33" s="250" t="s">
        <v>214</v>
      </c>
      <c r="F33" s="250">
        <f>VARIABLES!E30</f>
        <v>575.4</v>
      </c>
      <c r="G33" s="252" t="str">
        <f>VARIABLES!$F$30</f>
        <v>-</v>
      </c>
      <c r="H33" s="214"/>
    </row>
    <row r="34" spans="1:8" ht="15.75" customHeight="1" thickBot="1" x14ac:dyDescent="0.35">
      <c r="A34" s="93"/>
      <c r="B34" s="55"/>
      <c r="C34" s="213"/>
      <c r="D34" s="215"/>
      <c r="E34" s="146"/>
      <c r="F34" s="217"/>
      <c r="G34" s="55"/>
      <c r="H34" s="52"/>
    </row>
    <row r="35" spans="1:8" ht="15.75" customHeight="1" thickBot="1" x14ac:dyDescent="0.35">
      <c r="A35" s="92" t="s">
        <v>62</v>
      </c>
      <c r="B35" s="66"/>
      <c r="C35" s="66"/>
      <c r="D35" s="214"/>
      <c r="E35" s="221"/>
      <c r="F35" s="214"/>
      <c r="G35" s="51"/>
      <c r="H35" s="52"/>
    </row>
    <row r="36" spans="1:8" ht="32.4" customHeight="1" thickBot="1" x14ac:dyDescent="0.35">
      <c r="A36" s="91" t="s">
        <v>59</v>
      </c>
      <c r="B36" s="66"/>
      <c r="C36" s="66"/>
      <c r="D36" s="214"/>
      <c r="E36" s="221"/>
      <c r="F36" s="214"/>
      <c r="G36" s="51"/>
      <c r="H36" s="52"/>
    </row>
    <row r="37" spans="1:8" ht="15.75" customHeight="1" thickBot="1" x14ac:dyDescent="0.35">
      <c r="A37" s="56"/>
      <c r="B37" s="57"/>
      <c r="C37" s="44"/>
      <c r="D37" s="216" t="s">
        <v>294</v>
      </c>
      <c r="E37" s="146"/>
      <c r="F37" s="56"/>
      <c r="G37" s="57"/>
      <c r="H37" s="52"/>
    </row>
    <row r="38" spans="1:8" ht="15.75" customHeight="1" thickBot="1" x14ac:dyDescent="0.35">
      <c r="A38" s="58" t="s">
        <v>74</v>
      </c>
      <c r="B38" s="59"/>
      <c r="C38" s="60"/>
      <c r="D38" s="51"/>
      <c r="E38" s="214"/>
      <c r="F38" s="51"/>
      <c r="G38" s="51"/>
      <c r="H38" s="52"/>
    </row>
    <row r="39" spans="1:8" ht="15.75" customHeight="1" thickBot="1" x14ac:dyDescent="0.35">
      <c r="A39" s="232" t="s">
        <v>71</v>
      </c>
      <c r="B39" s="233" t="s">
        <v>72</v>
      </c>
      <c r="C39" s="51"/>
      <c r="D39" s="51"/>
      <c r="E39" s="214"/>
      <c r="F39" s="51"/>
      <c r="G39" s="51"/>
      <c r="H39" s="52"/>
    </row>
    <row r="40" spans="1:8" ht="14.25" customHeight="1" thickBot="1" x14ac:dyDescent="0.35">
      <c r="A40" s="234">
        <v>0</v>
      </c>
      <c r="B40" s="235">
        <v>0</v>
      </c>
      <c r="C40" s="51"/>
      <c r="D40" s="51"/>
      <c r="E40" s="214"/>
      <c r="F40" s="51"/>
      <c r="G40" s="51"/>
      <c r="H40" s="52"/>
    </row>
  </sheetData>
  <dataValidations count="3">
    <dataValidation type="list" errorStyle="information" allowBlank="1" showInputMessage="1" showErrorMessage="1" sqref="B15 B16" xr:uid="{E2E0C3F3-2908-4CDB-AC4F-FC28BA854959}">
      <formula1>"MASS,ELECTRICITY,EMISSIONS,ENERGY"</formula1>
    </dataValidation>
    <dataValidation type="list" errorStyle="information" allowBlank="1" showInputMessage="1" showErrorMessage="1" sqref="C15 D15 C16 D16" xr:uid="{68AA79A0-4BA7-47F3-BE66-3FDA788F7524}">
      <formula1>"IN,OUT"</formula1>
    </dataValidation>
    <dataValidation type="list" errorStyle="information" allowBlank="1" showInputMessage="1" showErrorMessage="1" sqref="B23" xr:uid="{F8FF0618-9885-4E58-83D8-7684E0543923}">
      <formula1>"Cold,Hot"</formula1>
    </dataValidation>
  </dataValidations>
  <pageMargins left="0.7" right="0.7" top="0.75" bottom="0.75" header="0" footer="0"/>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C2" sqref="C2"/>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43" t="s">
        <v>114</v>
      </c>
      <c r="B1" s="144" t="s">
        <v>52</v>
      </c>
      <c r="C1" s="145" t="s">
        <v>19</v>
      </c>
    </row>
    <row r="2" spans="1:3" thickBot="1" x14ac:dyDescent="0.35">
      <c r="A2" s="222" t="s">
        <v>35</v>
      </c>
      <c r="B2" s="223" t="s">
        <v>35</v>
      </c>
      <c r="C2" s="224" t="s">
        <v>35</v>
      </c>
    </row>
  </sheetData>
  <dataValidations count="2">
    <dataValidation type="list" errorStyle="information" allowBlank="1" showInputMessage="1" showErrorMessage="1" sqref="A1 B1 C1 A2 B2 C22 A3 B3 C3 A4 B4 C4 A5 B5 C5 A6 B6 C6 A7 B7 C7 A8 B8 C8 A9 B9 C9 A10 B10 C10 A11 B11 C11 A12 B12 C12 A13 B13 C13 A14 B14 C14 A15 B15 C15 A16 B16 C16 A17 B17 C17 A18 B18 C18 A19 B19 C19 A20 B20 C20 A21 B21 C21 A22 B22" xr:uid="{6DA4FF34-668D-441D-9035-ACA3D304A0D6}">
      <formula1>"-,kg,s,m,K,°C,W,bar,kg/h,t/h,kW,kW/m2K,W/m2K,kJ/kgK,kJ/kg,m3/h,%,eur,eur/y,kWel/kWth,year,aaaa"</formula1>
    </dataValidation>
    <dataValidation type="list" errorStyle="information" allowBlank="1" showInputMessage="1" showErrorMessage="1" sqref="C2" xr:uid="{B07B067F-D288-4E30-99AE-E2F103062508}">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3"/>
  <sheetViews>
    <sheetView showGridLines="0" workbookViewId="0">
      <selection activeCell="D12" sqref="D12"/>
    </sheetView>
  </sheetViews>
  <sheetFormatPr defaultColWidth="14.44140625" defaultRowHeight="15" customHeight="1" x14ac:dyDescent="0.3"/>
  <cols>
    <col min="2" max="2" width="29.77734375" bestFit="1" customWidth="1"/>
  </cols>
  <sheetData>
    <row r="1" spans="1:4" ht="14.4" x14ac:dyDescent="0.3">
      <c r="A1" s="80" t="s">
        <v>87</v>
      </c>
      <c r="B1" s="80" t="s">
        <v>111</v>
      </c>
      <c r="C1" s="80" t="s">
        <v>109</v>
      </c>
      <c r="D1" s="80" t="s">
        <v>110</v>
      </c>
    </row>
    <row r="2" spans="1:4" ht="15" customHeight="1" x14ac:dyDescent="0.3">
      <c r="A2" s="141" t="s">
        <v>112</v>
      </c>
      <c r="B2" s="142" t="s">
        <v>7</v>
      </c>
      <c r="C2" s="81">
        <v>46106</v>
      </c>
      <c r="D2" s="82" t="s">
        <v>113</v>
      </c>
    </row>
    <row r="3" spans="1:4" x14ac:dyDescent="0.3">
      <c r="A3" s="141" t="s">
        <v>336</v>
      </c>
      <c r="B3" s="142" t="s">
        <v>339</v>
      </c>
      <c r="C3" s="81">
        <v>46316</v>
      </c>
      <c r="D3" s="82" t="s">
        <v>341</v>
      </c>
    </row>
  </sheetData>
  <dataValidations count="1">
    <dataValidation type="list" errorStyle="information" allowBlank="1" showInputMessage="1" showErrorMessage="1" sqref="A1 B1 C1 D1 A2 B2 C2 D2" xr:uid="{3FD6F872-C657-4323-AB59-ADFA12EC0655}">
      <formula1>"-,kg,s,m,K,°C,W,bar,kg/h,t/h,kW,kW/m2K,W/m2K,kJ/kgK,kJ/kg,m3/h,%,eur,eur/y,kWel/kWth,year,aaaa"</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11" sqref="F11"/>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75" t="s">
        <v>107</v>
      </c>
      <c r="B1" s="73"/>
      <c r="C1" s="73"/>
      <c r="D1" s="73"/>
      <c r="E1" s="73"/>
      <c r="F1" s="73"/>
      <c r="G1" s="84"/>
    </row>
    <row r="2" spans="1:7" ht="15" thickBot="1" x14ac:dyDescent="0.35">
      <c r="A2" s="83" t="s">
        <v>108</v>
      </c>
      <c r="B2" s="76" t="s">
        <v>69</v>
      </c>
      <c r="C2" s="76" t="s">
        <v>18</v>
      </c>
      <c r="D2" s="76" t="s">
        <v>106</v>
      </c>
      <c r="E2" s="76" t="s">
        <v>105</v>
      </c>
      <c r="F2" s="76" t="s">
        <v>104</v>
      </c>
      <c r="G2" s="77" t="s">
        <v>89</v>
      </c>
    </row>
    <row r="3" spans="1:7" x14ac:dyDescent="0.3">
      <c r="A3" s="86">
        <v>1</v>
      </c>
      <c r="B3" s="226" t="s">
        <v>320</v>
      </c>
      <c r="C3" s="85" t="s">
        <v>115</v>
      </c>
      <c r="D3" s="228" t="s">
        <v>323</v>
      </c>
      <c r="E3" s="85" t="s">
        <v>116</v>
      </c>
      <c r="F3" s="85" t="s">
        <v>7</v>
      </c>
      <c r="G3" s="87">
        <v>46106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4966C-BCCF-469E-8E36-E4E2EF0462D5}">
  <sheetPr codeName="Sheet10"/>
  <dimension ref="A1:A28"/>
  <sheetViews>
    <sheetView showGridLines="0" tabSelected="1" topLeftCell="A7" workbookViewId="0">
      <selection activeCell="A12" sqref="A12"/>
    </sheetView>
  </sheetViews>
  <sheetFormatPr defaultRowHeight="14.4" x14ac:dyDescent="0.3"/>
  <cols>
    <col min="1" max="1" width="130.77734375" style="229" customWidth="1"/>
    <col min="2" max="16384" width="8.88671875" style="229"/>
  </cols>
  <sheetData>
    <row r="1" spans="1:1" ht="15.6" thickTop="1" thickBot="1" x14ac:dyDescent="0.35">
      <c r="A1" s="225" t="s">
        <v>311</v>
      </c>
    </row>
    <row r="2" spans="1:1" ht="43.8" thickTop="1" x14ac:dyDescent="0.3">
      <c r="A2" s="230" t="s">
        <v>318</v>
      </c>
    </row>
    <row r="4" spans="1:1" ht="57.6" x14ac:dyDescent="0.3">
      <c r="A4" s="230" t="s">
        <v>319</v>
      </c>
    </row>
    <row r="6" spans="1:1" ht="43.2" x14ac:dyDescent="0.3">
      <c r="A6" s="230" t="str">
        <f>"In this model, return water enters the tower at "&amp;TEXT(Cool_Tout,"0.00")&amp;" °C and is cooled to a supply temperature of "&amp;TEXT(Cool_Tin,"0.00")&amp;" °C. The reference heat removal capacity is "&amp;TEXT(Cool_Qmax,"0.00")&amp;" kW. Both recirculation pumps and forced draft fans consume electricity at a ratio of "&amp;TEXT(Cool_Elec,"0.0000")&amp;" kWe/kWt. The circulating water flow rate is "&amp;TEXT(water_flow,"0.00")&amp;" t/h and the makeup water flow required to compensate evaporation losses is "&amp;TEXT(watermu_CT,"0.00")&amp;" m³/h."</f>
        <v>In this model, return water enters the tower at 30.00 °C and is cooled to a supply temperature of 16.32 °C. The reference heat removal capacity is 100000.00 kW. Both recirculation pumps and forced draft fans consume electricity at a ratio of 0.0210 kWe/kWt. The circulating water flow rate is 6265.66 t/h and the makeup water flow required to compensate evaporation losses is 131.14 m³/h.</v>
      </c>
    </row>
    <row r="7" spans="1:1" ht="15" thickBot="1" x14ac:dyDescent="0.35"/>
    <row r="8" spans="1:1" ht="15.6" thickTop="1" thickBot="1" x14ac:dyDescent="0.35">
      <c r="A8" s="225" t="s">
        <v>312</v>
      </c>
    </row>
    <row r="9" spans="1:1" ht="29.4" thickTop="1" x14ac:dyDescent="0.3">
      <c r="A9" s="230" t="str">
        <f>"Wet-bulb temperature is computed from dry-bulb temperature and relative humidity (Stull, 2011). Current conditions: Tdrybulb = "&amp;TEXT(Tdrybulb,"0.00")&amp;" °C, RH = "&amp;TEXT(RelatHum,"0.00")&amp;" %. Resulting wet-bulb: "&amp;TEXT(Twetbulb,"0.00")&amp;" °C. Valid for RH "&amp;TEXT(RelatHum_min,"0")&amp;"-"&amp;TEXT(RelatHum_max,"0")&amp;" %, T "&amp;TEXT(Tdrybulb_min,"0")&amp;" to "&amp;TEXT(Tdrybulb_max,"0")&amp;" °C at standard pressure."</f>
        <v>Wet-bulb temperature is computed from dry-bulb temperature and relative humidity (Stull, 2011). Current conditions: Tdrybulb = 20.00 °C, RH = 40.00 %. Resulting wet-bulb: 12.32 °C. Valid for RH 10-100 %, T -10 to 45 °C at standard pressure.</v>
      </c>
    </row>
    <row r="10" spans="1:1" ht="15" thickBot="1" x14ac:dyDescent="0.35"/>
    <row r="11" spans="1:1" ht="15.6" thickTop="1" thickBot="1" x14ac:dyDescent="0.35">
      <c r="A11" s="225" t="s">
        <v>313</v>
      </c>
    </row>
    <row r="12" spans="1:1" ht="29.4" thickTop="1" x14ac:dyDescent="0.3">
      <c r="A12" s="230" t="str">
        <f>"The approach temperature (Cool_Tin - Twetbulb) must always be positive. Current approach = "&amp;TEXT(approach,"0.00")&amp;" K. Current range = "&amp;TEXT(range,"0.00")&amp;" K. Typical industrial range: "&amp;TEXT(range_min,"0")&amp;"-"&amp;TEXT(range_max,"0")&amp;" K; approach: "&amp;TEXT(approach_min,"0")&amp;"-"&amp;TEXT(approach_max,"0")&amp;" K."</f>
        <v>The approach temperature (Cool_Tin - Twetbulb) must always be positive. Current approach = 4.00 K. Current range = 13.68 K. Typical industrial range: 5-35 K; approach: 0-35 K.</v>
      </c>
    </row>
    <row r="13" spans="1:1" ht="15" thickBot="1" x14ac:dyDescent="0.35"/>
    <row r="14" spans="1:1" ht="15.6" thickTop="1" thickBot="1" x14ac:dyDescent="0.35">
      <c r="A14" s="225" t="s">
        <v>314</v>
      </c>
    </row>
    <row r="15" spans="1:1" ht="15" thickTop="1" x14ac:dyDescent="0.3">
      <c r="A15" s="229" t="str">
        <f>"Cooling tower inlet temperature: "&amp;TEXT(Cool_Tin,"0.00")&amp;" °C"</f>
        <v>Cooling tower inlet temperature: 16.32 °C</v>
      </c>
    </row>
    <row r="16" spans="1:1" x14ac:dyDescent="0.3">
      <c r="A16" s="229" t="str">
        <f>"Cooling tower outlet temperature: "&amp;TEXT(Cool_Tout,"0.00")&amp;" °C"</f>
        <v>Cooling tower outlet temperature: 30.00 °C</v>
      </c>
    </row>
    <row r="17" spans="1:1" x14ac:dyDescent="0.3">
      <c r="A17" s="229" t="str">
        <f>" Cooling tower reference heat load: "&amp;TEXT(Cool_Qmax,"0.00")&amp;" kW"</f>
        <v> Cooling tower reference heat load: 100000.00 kW</v>
      </c>
    </row>
    <row r="18" spans="1:1" x14ac:dyDescent="0.3">
      <c r="A18" s="229" t="str">
        <f>"Dry bulb temperature: "&amp;TEXT(Tdrybulb,"0.00")&amp;" °C"</f>
        <v>Dry bulb temperature: 20.00 °C</v>
      </c>
    </row>
    <row r="19" spans="1:1" x14ac:dyDescent="0.3">
      <c r="A19" s="229" t="str">
        <f>"Wet bulb temperature: "&amp;TEXT(Twetbulb,"0.00")&amp;" °C"</f>
        <v>Wet bulb temperature: 12.32 °C</v>
      </c>
    </row>
    <row r="20" spans="1:1" x14ac:dyDescent="0.3">
      <c r="A20" s="229" t="str">
        <f>"Cooling electricity per thermal power: "&amp;TEXT(Cool_Elec,"0.00")&amp;" kWel/kWth"</f>
        <v>Cooling electricity per thermal power: 0.02 kWel/kWth</v>
      </c>
    </row>
    <row r="21" spans="1:1" x14ac:dyDescent="0.3">
      <c r="A21" s="229" t="str">
        <f>"Approach temperature: "&amp;TEXT(approach,"0.00")&amp;" K"</f>
        <v>Approach temperature: 4.00 K</v>
      </c>
    </row>
    <row r="22" spans="1:1" x14ac:dyDescent="0.3">
      <c r="A22" s="229" t="str">
        <f>"Water flow rate: "&amp;TEXT(water_flow,"0.00")&amp;" t/h"</f>
        <v>Water flow rate: 6265.66 t/h</v>
      </c>
    </row>
    <row r="23" spans="1:1" x14ac:dyDescent="0.3">
      <c r="A23" s="229" t="str">
        <f>"Makeup water in the CT system: "&amp;TEXT(watermu_CT,"0.00")&amp;" m3/h"</f>
        <v>Makeup water in the CT system: 131.14 m3/h</v>
      </c>
    </row>
    <row r="24" spans="1:1" x14ac:dyDescent="0.3">
      <c r="A24" s="229" t="str">
        <f>"Total investment cost: "&amp;TEXT(CTCost,"0.00")&amp;" Eur"</f>
        <v>Total investment cost: 4605386.65 Eur</v>
      </c>
    </row>
    <row r="25" spans="1:1" x14ac:dyDescent="0.3">
      <c r="A25" s="229" t="str">
        <f>"Annualized investment cost: "&amp;TEXT(Cinv2_CT,"0.00")&amp;" Eur/y"</f>
        <v>Annualized investment cost: 317145.52 Eur/y</v>
      </c>
    </row>
    <row r="26" spans="1:1" ht="15" thickBot="1" x14ac:dyDescent="0.35"/>
    <row r="27" spans="1:1" ht="15.6" thickTop="1" thickBot="1" x14ac:dyDescent="0.35">
      <c r="A27" s="225" t="s">
        <v>315</v>
      </c>
    </row>
    <row r="28" spans="1:1" ht="87" thickTop="1" x14ac:dyDescent="0.3">
      <c r="A28" s="231" t="s">
        <v>338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72</vt:i4>
      </vt:variant>
    </vt:vector>
  </HeadingPairs>
  <TitlesOfParts>
    <vt:vector size="81" baseType="lpstr">
      <vt:lpstr>README</vt:lpstr>
      <vt:lpstr>METADATA</vt:lpstr>
      <vt:lpstr>CONNECTORS</vt:lpstr>
      <vt:lpstr>VARIABLES</vt:lpstr>
      <vt:lpstr>CoolTower</vt:lpstr>
      <vt:lpstr>CALCULATIONS</vt:lpstr>
      <vt:lpstr>CHANGELOG</vt:lpstr>
      <vt:lpstr>SUPPL MATERIAL</vt:lpstr>
      <vt:lpstr>DOCUMENTATION</vt:lpstr>
      <vt:lpstr>Annuity</vt:lpstr>
      <vt:lpstr>Annuity_max</vt:lpstr>
      <vt:lpstr>Annuity_min</vt:lpstr>
      <vt:lpstr>approach</vt:lpstr>
      <vt:lpstr>approach_max</vt:lpstr>
      <vt:lpstr>approach_min</vt:lpstr>
      <vt:lpstr>CEPCI_2008</vt:lpstr>
      <vt:lpstr>CEPCI_2008_max</vt:lpstr>
      <vt:lpstr>CEPCI_2008_min</vt:lpstr>
      <vt:lpstr>CEPCI_2020</vt:lpstr>
      <vt:lpstr>CEPCI_2020_max</vt:lpstr>
      <vt:lpstr>CEPCI_2020_min</vt:lpstr>
      <vt:lpstr>Cinv2_CT</vt:lpstr>
      <vt:lpstr>Cinv2_CT_max</vt:lpstr>
      <vt:lpstr>Cinv2_CT_min</vt:lpstr>
      <vt:lpstr>Cool_Elec</vt:lpstr>
      <vt:lpstr>Cool_Elec_max</vt:lpstr>
      <vt:lpstr>Cool_Elec_min</vt:lpstr>
      <vt:lpstr>Cool_Qmax</vt:lpstr>
      <vt:lpstr>Cool_Qmax_max</vt:lpstr>
      <vt:lpstr>Cool_Qmax_min</vt:lpstr>
      <vt:lpstr>Cool_Tin</vt:lpstr>
      <vt:lpstr>Cool_Tin_max</vt:lpstr>
      <vt:lpstr>Cool_Tin_min</vt:lpstr>
      <vt:lpstr>Cool_Tout</vt:lpstr>
      <vt:lpstr>Cool_Tout_max</vt:lpstr>
      <vt:lpstr>Cool_Tout_min</vt:lpstr>
      <vt:lpstr>cp_water</vt:lpstr>
      <vt:lpstr>cp_water_max</vt:lpstr>
      <vt:lpstr>cp_water_min</vt:lpstr>
      <vt:lpstr>CTCost</vt:lpstr>
      <vt:lpstr>CTCost_max</vt:lpstr>
      <vt:lpstr>CTCost_min</vt:lpstr>
      <vt:lpstr>dtmin_2ph</vt:lpstr>
      <vt:lpstr>dtmin_2ph_max</vt:lpstr>
      <vt:lpstr>dtmin_2ph_min</vt:lpstr>
      <vt:lpstr>dtmin_gas</vt:lpstr>
      <vt:lpstr>dtmin_gas_max</vt:lpstr>
      <vt:lpstr>dtmin_gas_min</vt:lpstr>
      <vt:lpstr>dtmin_liq</vt:lpstr>
      <vt:lpstr>dtmin_liq_max</vt:lpstr>
      <vt:lpstr>dtmin_liq_min</vt:lpstr>
      <vt:lpstr>E_ref_CT</vt:lpstr>
      <vt:lpstr>E_ref_CT_max</vt:lpstr>
      <vt:lpstr>E_ref_CT_min</vt:lpstr>
      <vt:lpstr>i</vt:lpstr>
      <vt:lpstr>i_max</vt:lpstr>
      <vt:lpstr>i_min</vt:lpstr>
      <vt:lpstr>n</vt:lpstr>
      <vt:lpstr>n_max</vt:lpstr>
      <vt:lpstr>n_min</vt:lpstr>
      <vt:lpstr>range</vt:lpstr>
      <vt:lpstr>range_max</vt:lpstr>
      <vt:lpstr>range_min</vt:lpstr>
      <vt:lpstr>RelatHum</vt:lpstr>
      <vt:lpstr>RelatHum_max</vt:lpstr>
      <vt:lpstr>RelatHum_min</vt:lpstr>
      <vt:lpstr>Tdrybulb</vt:lpstr>
      <vt:lpstr>Tdrybulb_max</vt:lpstr>
      <vt:lpstr>Tdrybulb_min</vt:lpstr>
      <vt:lpstr>Twetbulb</vt:lpstr>
      <vt:lpstr>Twetbulb_max</vt:lpstr>
      <vt:lpstr>Twetbulb_min</vt:lpstr>
      <vt:lpstr>water_flow</vt:lpstr>
      <vt:lpstr>water_flow_max</vt:lpstr>
      <vt:lpstr>water_flow_min</vt:lpstr>
      <vt:lpstr>water_vflow</vt:lpstr>
      <vt:lpstr>water_vflow_max</vt:lpstr>
      <vt:lpstr>water_vflow_min</vt:lpstr>
      <vt:lpstr>watermu_CT</vt:lpstr>
      <vt:lpstr>watermu_CT_max</vt:lpstr>
      <vt:lpstr>watermu_CT_min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2026-05-06T12:11:14Z</dcterms:modified>
</cp:coreProperties>
</file>