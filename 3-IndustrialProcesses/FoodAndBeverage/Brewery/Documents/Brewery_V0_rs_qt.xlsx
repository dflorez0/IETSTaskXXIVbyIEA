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" sheetId="1" state="visible" r:id="rId3"/>
    <sheet name="qt" sheetId="2" state="visible" r:id="rId4"/>
    <sheet name="rs_mass" sheetId="3" state="visible" r:id="rId5"/>
    <sheet name="rs_electricity" sheetId="4" state="visible" r:id="rId6"/>
    <sheet name="targe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<sst xmlns="http://schemas.openxmlformats.org/spreadsheetml/2006/main" count="266" uniqueCount="210">
  <si>
    <t xml:space="preserve">Brewery V0: basis and data sources</t>
  </si>
  <si>
    <t xml:space="preserve">Yellow cells with blue text are inputs (plant values of the source); green text links to another sheet. Results are given per 1 t/h of beer (kg/h = kg/t; kW = kWh/t).</t>
  </si>
  <si>
    <t xml:space="preserve">Parameter</t>
  </si>
  <si>
    <t xml:space="preserve">Value</t>
  </si>
  <si>
    <t xml:space="preserve">Unit</t>
  </si>
  <si>
    <t xml:space="preserve">Source</t>
  </si>
  <si>
    <t xml:space="preserve">Beer produced by the reference plant</t>
  </si>
  <si>
    <t xml:space="preserve">t/h</t>
  </si>
  <si>
    <t xml:space="preserve">Maréchal et al. (2013): 19.0793 kg/s</t>
  </si>
  <si>
    <t xml:space="preserve">Operating time</t>
  </si>
  <si>
    <t xml:space="preserve">h/y</t>
  </si>
  <si>
    <t xml:space="preserve">IPESE ROSMOSE brewery model (op_time)</t>
  </si>
  <si>
    <t xml:space="preserve">Reference flow of beer</t>
  </si>
  <si>
    <t xml:space="preserve">Basis of all tables</t>
  </si>
  <si>
    <t xml:space="preserve">Data: Maréchal, Sachan, Salgueiro (2013), Application of process integration methodologies in the brewing industry, Handbook of Process Integration, Woodhead (Table 27.5, Figs 27.3 to 27.7).</t>
  </si>
  <si>
    <t xml:space="preserve">dTmin/2 = 5 K for liquid streams and 2 K for wort evaporation and vapour condensation; isothermal streams have a 0.1 K span.</t>
  </si>
  <si>
    <t xml:space="preserve">Corrections to the source (pasteurisation at 70 C, whirlpool make-up water, dilution water) are listed in the case study, section Data basis.</t>
  </si>
  <si>
    <t xml:space="preserve">Utilities (steam, hot water, glycol-water, ammonia refrigeration, cooling water) are not part of the process data.</t>
  </si>
  <si>
    <t xml:space="preserve">Process electricity (rs_electricity): IFC (2007) benchmark and Galitsky et al. (2003) shares; midpoints and beer density are assumptions.</t>
  </si>
  <si>
    <t xml:space="preserve">qt: thermal streams of variant V0, per 1 t/h of beer</t>
  </si>
  <si>
    <t xml:space="preserve">Q at plant scale (input, kW) is normalised by the beer flow. Hot streams (H) must be cooled, cold streams (C) must be heated.</t>
  </si>
  <si>
    <t xml:space="preserve">ID</t>
  </si>
  <si>
    <t xml:space="preserve">Stream</t>
  </si>
  <si>
    <t xml:space="preserve">Type</t>
  </si>
  <si>
    <t xml:space="preserve">Tin (C)</t>
  </si>
  <si>
    <t xml:space="preserve">Tout (C)</t>
  </si>
  <si>
    <t xml:space="preserve">Q, plant (kW)</t>
  </si>
  <si>
    <t xml:space="preserve">Q, 1 t/h (kW)</t>
  </si>
  <si>
    <t xml:space="preserve">mCp, 1 t/h (kW/K)</t>
  </si>
  <si>
    <t xml:space="preserve">dTmin/2 (K)</t>
  </si>
  <si>
    <t xml:space="preserve">Operating time (h/y)</t>
  </si>
  <si>
    <t xml:space="preserve">Origin in the source (Table 27.5)</t>
  </si>
  <si>
    <t xml:space="preserve">Cold streams (to be heated)</t>
  </si>
  <si>
    <t xml:space="preserve">C1</t>
  </si>
  <si>
    <t xml:space="preserve">Mashing: Water to the mash cooker (MAK)</t>
  </si>
  <si>
    <t xml:space="preserve">cold</t>
  </si>
  <si>
    <t xml:space="preserve">Water-MAK</t>
  </si>
  <si>
    <t xml:space="preserve">C2</t>
  </si>
  <si>
    <t xml:space="preserve">Mashing: Water to the mash tun (MAT)</t>
  </si>
  <si>
    <t xml:space="preserve">Water-MAT</t>
  </si>
  <si>
    <t xml:space="preserve">C3</t>
  </si>
  <si>
    <t xml:space="preserve">Mashing: Mash heating in MAK and MAT (lumped)</t>
  </si>
  <si>
    <t xml:space="preserve">MAK-Heating + MAT-Heating</t>
  </si>
  <si>
    <t xml:space="preserve">C4</t>
  </si>
  <si>
    <t xml:space="preserve">Mashing: Combined mash heating</t>
  </si>
  <si>
    <t xml:space="preserve">MAT+MAK</t>
  </si>
  <si>
    <t xml:space="preserve">C5</t>
  </si>
  <si>
    <t xml:space="preserve">Lautering: Sparge water heating</t>
  </si>
  <si>
    <t xml:space="preserve">Water-Filter</t>
  </si>
  <si>
    <t xml:space="preserve">C6</t>
  </si>
  <si>
    <t xml:space="preserve">Wort boiling: Wort heating to boiling</t>
  </si>
  <si>
    <t xml:space="preserve">WOK - Boiling</t>
  </si>
  <si>
    <t xml:space="preserve">C7</t>
  </si>
  <si>
    <t xml:space="preserve">Wort boiling: Wort boiling, water evaporation</t>
  </si>
  <si>
    <t xml:space="preserve">WOK - Evaporation</t>
  </si>
  <si>
    <t xml:space="preserve">C8</t>
  </si>
  <si>
    <t xml:space="preserve">Whirlpool: Make-up water heating</t>
  </si>
  <si>
    <t xml:space="preserve">Centrifuge (load recomputed, see Data basis)</t>
  </si>
  <si>
    <t xml:space="preserve">C9</t>
  </si>
  <si>
    <t xml:space="preserve">CIP: Hot water for cleaning in place</t>
  </si>
  <si>
    <t xml:space="preserve">CIP</t>
  </si>
  <si>
    <t xml:space="preserve">C10</t>
  </si>
  <si>
    <t xml:space="preserve">Beer treatment: Concentrated beer warming before dilution</t>
  </si>
  <si>
    <t xml:space="preserve">Beer preheating (flow after CO2 release)</t>
  </si>
  <si>
    <t xml:space="preserve">C11</t>
  </si>
  <si>
    <t xml:space="preserve">Beer treatment: Pasteurisation heating</t>
  </si>
  <si>
    <t xml:space="preserve">Pasteurization heating (to 70 C)</t>
  </si>
  <si>
    <t xml:space="preserve">C12</t>
  </si>
  <si>
    <t xml:space="preserve">Bottle washing: Soda bath heating</t>
  </si>
  <si>
    <t xml:space="preserve">Soda Bath Temperature</t>
  </si>
  <si>
    <t xml:space="preserve">C13</t>
  </si>
  <si>
    <t xml:space="preserve">Bottle washing: Pre-rinse bath heating</t>
  </si>
  <si>
    <t xml:space="preserve">Pre Rinse Bath Temperature</t>
  </si>
  <si>
    <t xml:space="preserve">C14</t>
  </si>
  <si>
    <t xml:space="preserve">Bottle washing: Soda bath make-up, water and soda (lumped)</t>
  </si>
  <si>
    <t xml:space="preserve">Soda make-up + Water to soda tank</t>
  </si>
  <si>
    <t xml:space="preserve">C15</t>
  </si>
  <si>
    <t xml:space="preserve">Bottle washing: Pre-rinse make-up water heating</t>
  </si>
  <si>
    <t xml:space="preserve">Pre-rinse make up</t>
  </si>
  <si>
    <t xml:space="preserve">C16</t>
  </si>
  <si>
    <t xml:space="preserve">Bottle washing: Final rinse water heating</t>
  </si>
  <si>
    <t xml:space="preserve">Final Rinse Water make up</t>
  </si>
  <si>
    <t xml:space="preserve">Total cold streams</t>
  </si>
  <si>
    <t xml:space="preserve">Hot streams (to be cooled)</t>
  </si>
  <si>
    <t xml:space="preserve">H1</t>
  </si>
  <si>
    <t xml:space="preserve">Wort boiling: Boiling vapour, condensation (with desuperheating)</t>
  </si>
  <si>
    <t xml:space="preserve">hot</t>
  </si>
  <si>
    <t xml:space="preserve">Vapour - Recovery 105-100 + 100-100</t>
  </si>
  <si>
    <t xml:space="preserve">H2</t>
  </si>
  <si>
    <t xml:space="preserve">Wort boiling: Vapour condensate cooling</t>
  </si>
  <si>
    <t xml:space="preserve">Vapour - Recovery 100-25</t>
  </si>
  <si>
    <t xml:space="preserve">H3</t>
  </si>
  <si>
    <t xml:space="preserve">Wort cooling: Wort cooling to pitching temperature</t>
  </si>
  <si>
    <t xml:space="preserve">Wort-Cooling</t>
  </si>
  <si>
    <t xml:space="preserve">H4</t>
  </si>
  <si>
    <t xml:space="preserve">Fermentation: Fermentation at 10 C (heat of fermentation)</t>
  </si>
  <si>
    <t xml:space="preserve">Fermentation</t>
  </si>
  <si>
    <t xml:space="preserve">H5</t>
  </si>
  <si>
    <t xml:space="preserve">Maturation: Cooling to maturation temperature</t>
  </si>
  <si>
    <t xml:space="preserve">Cooling</t>
  </si>
  <si>
    <t xml:space="preserve">H6</t>
  </si>
  <si>
    <t xml:space="preserve">Maturation: Maturation at 6 C</t>
  </si>
  <si>
    <t xml:space="preserve">Maturing</t>
  </si>
  <si>
    <t xml:space="preserve">H7</t>
  </si>
  <si>
    <t xml:space="preserve">Chillage: Beer chilling</t>
  </si>
  <si>
    <t xml:space="preserve">Chilling</t>
  </si>
  <si>
    <t xml:space="preserve">H8</t>
  </si>
  <si>
    <t xml:space="preserve">Chillage: Chillage at 1 C</t>
  </si>
  <si>
    <t xml:space="preserve">Chillage</t>
  </si>
  <si>
    <t xml:space="preserve">H9</t>
  </si>
  <si>
    <t xml:space="preserve">Beer treatment: Pasteurised beer cooling</t>
  </si>
  <si>
    <t xml:space="preserve">Pasteurization cooling</t>
  </si>
  <si>
    <t xml:space="preserve">H10</t>
  </si>
  <si>
    <t xml:space="preserve">Bottle washing: Soda bath rinse water cooling</t>
  </si>
  <si>
    <t xml:space="preserve">Soda Bath Rinse - Out</t>
  </si>
  <si>
    <t xml:space="preserve">H11</t>
  </si>
  <si>
    <t xml:space="preserve">Bottle washing: Pre-rinse water to wastewater, cooling</t>
  </si>
  <si>
    <t xml:space="preserve">Pre Rinse - Out</t>
  </si>
  <si>
    <t xml:space="preserve">Total hot streams</t>
  </si>
  <si>
    <t xml:space="preserve">rs: material flows of variant V0</t>
  </si>
  <si>
    <t xml:space="preserve">Direction</t>
  </si>
  <si>
    <t xml:space="preserve">Flow, plant (kg/h)</t>
  </si>
  <si>
    <t xml:space="preserve">Flow, 1 t/h of beer (kg/h)</t>
  </si>
  <si>
    <t xml:space="preserve">T (C)</t>
  </si>
  <si>
    <t xml:space="preserve">Inputs</t>
  </si>
  <si>
    <t xml:space="preserve">Malt</t>
  </si>
  <si>
    <t xml:space="preserve">in</t>
  </si>
  <si>
    <t xml:space="preserve">15</t>
  </si>
  <si>
    <t xml:space="preserve">Corn (adjunct)</t>
  </si>
  <si>
    <t xml:space="preserve">Water for mashing (MAK and MAT)</t>
  </si>
  <si>
    <t xml:space="preserve">Sparge water</t>
  </si>
  <si>
    <t xml:space="preserve">Make-up water at the whirlpool</t>
  </si>
  <si>
    <t xml:space="preserve">Dilution water</t>
  </si>
  <si>
    <t xml:space="preserve">Water for cleaning in place</t>
  </si>
  <si>
    <t xml:space="preserve">Soda (NaOH) for bottle washing</t>
  </si>
  <si>
    <t xml:space="preserve">Water for bottle washing (soda bath, pre-rinse, final rinse)</t>
  </si>
  <si>
    <t xml:space="preserve">Total in</t>
  </si>
  <si>
    <t xml:space="preserve">Outputs</t>
  </si>
  <si>
    <t xml:space="preserve">Beer</t>
  </si>
  <si>
    <t xml:space="preserve">out</t>
  </si>
  <si>
    <t xml:space="preserve">5</t>
  </si>
  <si>
    <t xml:space="preserve">Spent grains (dregs)</t>
  </si>
  <si>
    <t xml:space="preserve">75</t>
  </si>
  <si>
    <t xml:space="preserve">Vapour from wort boiling</t>
  </si>
  <si>
    <t xml:space="preserve">100</t>
  </si>
  <si>
    <t xml:space="preserve">Trub</t>
  </si>
  <si>
    <t xml:space="preserve">CO2 from fermentation</t>
  </si>
  <si>
    <t xml:space="preserve">10</t>
  </si>
  <si>
    <t xml:space="preserve">Hot water to cleaning in place</t>
  </si>
  <si>
    <t xml:space="preserve">80</t>
  </si>
  <si>
    <t xml:space="preserve">Bottle-washing wastewater</t>
  </si>
  <si>
    <t xml:space="preserve">20</t>
  </si>
  <si>
    <t xml:space="preserve">Total out</t>
  </si>
  <si>
    <t xml:space="preserve">Internal flows</t>
  </si>
  <si>
    <t xml:space="preserve">Mash to lautering</t>
  </si>
  <si>
    <t xml:space="preserve">Wort to boiling</t>
  </si>
  <si>
    <t xml:space="preserve">78</t>
  </si>
  <si>
    <t xml:space="preserve">Wort to fermentation</t>
  </si>
  <si>
    <t xml:space="preserve">Concentrated beer to dilution</t>
  </si>
  <si>
    <t xml:space="preserve">1</t>
  </si>
  <si>
    <t xml:space="preserve">Closure check: total in minus total out (kg/h, plant)</t>
  </si>
  <si>
    <t xml:space="preserve">rs: process electricity of variant V0, per 1 t/h of beer</t>
  </si>
  <si>
    <t xml:space="preserve">Derived from sector data. Refrigeration and the boiler house are utilities: they are shown for comparison only.</t>
  </si>
  <si>
    <t xml:space="preserve">Specific electricity use of large breweries (midpoint of 7.5 to 11.5)</t>
  </si>
  <si>
    <t xml:space="preserve">kWh/hl</t>
  </si>
  <si>
    <t xml:space="preserve">IFC (2007), Table 3, from EC (2006)</t>
  </si>
  <si>
    <t xml:space="preserve">Beer density</t>
  </si>
  <si>
    <t xml:space="preserve">kg/L</t>
  </si>
  <si>
    <t xml:space="preserve">Assumption</t>
  </si>
  <si>
    <t xml:space="preserve">Specific electricity use, all uses</t>
  </si>
  <si>
    <t xml:space="preserve">kWh/t beer</t>
  </si>
  <si>
    <t xml:space="preserve">Item</t>
  </si>
  <si>
    <t xml:space="preserve">Share midpoint (%)</t>
  </si>
  <si>
    <t xml:space="preserve">kW at 1 t/h</t>
  </si>
  <si>
    <t xml:space="preserve">kW, plant</t>
  </si>
  <si>
    <t xml:space="preserve">Basis (Galitsky et al., 2003, Table 4)</t>
  </si>
  <si>
    <t xml:space="preserve">Packaging (filling, labelling, conveyors)</t>
  </si>
  <si>
    <t xml:space="preserve">15 to 35 %</t>
  </si>
  <si>
    <t xml:space="preserve">Compressed air</t>
  </si>
  <si>
    <t xml:space="preserve">10 %</t>
  </si>
  <si>
    <t xml:space="preserve">Brewhouse (mill, pumps, agitators, lauter tun)</t>
  </si>
  <si>
    <t xml:space="preserve">5 to 10 %</t>
  </si>
  <si>
    <t xml:space="preserve">Lighting</t>
  </si>
  <si>
    <t xml:space="preserve">6 %</t>
  </si>
  <si>
    <t xml:space="preserve">Other (pumps, ventilation, wastewater)</t>
  </si>
  <si>
    <t xml:space="preserve">10 to 30 %</t>
  </si>
  <si>
    <t xml:space="preserve">Refrigeration (utility, comparison only)</t>
  </si>
  <si>
    <t xml:space="preserve">30 to 40 %</t>
  </si>
  <si>
    <t xml:space="preserve">Boiler house (utility, comparison only)</t>
  </si>
  <si>
    <t xml:space="preserve">5 %</t>
  </si>
  <si>
    <t xml:space="preserve">Total process electricity</t>
  </si>
  <si>
    <t xml:space="preserve">Total process electricity, plant (MWh/y)</t>
  </si>
  <si>
    <t xml:space="preserve">Reference targets for the 27 streams of the qt sheet</t>
  </si>
  <si>
    <t xml:space="preserve">Problem-table results with the dTmin/2 of each stream.</t>
  </si>
  <si>
    <t xml:space="preserve">Quantity</t>
  </si>
  <si>
    <t xml:space="preserve">1 t/h (kW)</t>
  </si>
  <si>
    <t xml:space="preserve">Plant (kW)</t>
  </si>
  <si>
    <t xml:space="preserve">Plant (MWh/y)</t>
  </si>
  <si>
    <t xml:space="preserve">Total heating demand (cold streams)</t>
  </si>
  <si>
    <t xml:space="preserve">Total cooling demand (hot streams)</t>
  </si>
  <si>
    <t xml:space="preserve">Minimum hot utility</t>
  </si>
  <si>
    <t xml:space="preserve">Minimum cold utility</t>
  </si>
  <si>
    <t xml:space="preserve">   of which below ambient (refrigeration)</t>
  </si>
  <si>
    <t xml:space="preserve">Maximum heat recovery</t>
  </si>
  <si>
    <t xml:space="preserve">Pinch temperature, shifted (C)</t>
  </si>
  <si>
    <t xml:space="preserve">Process electricity (rs_electricity)</t>
  </si>
  <si>
    <t xml:space="preserve">Consistency check with the qt sheet (should be 0.0)</t>
  </si>
  <si>
    <t xml:space="preserve">Heating demand: targets minus qt total</t>
  </si>
  <si>
    <t xml:space="preserve">Cooling demand: targets minus qt total</t>
  </si>
  <si>
    <t xml:space="preserve">Energy balance: (Qh - Qc) minus (heating - cooling)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</si>
</sst>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#,##0"/>
    <numFmt numFmtId="167" formatCode="0.0"/>
    <numFmt numFmtId="168" formatCode="#,##0.0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99"/>
        <bgColor rgb="FFFFFFCC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68.6855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8760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7" t="n">
        <v>1</v>
      </c>
      <c r="C7" s="4" t="s">
        <v>7</v>
      </c>
      <c r="D7" s="4" t="s">
        <v>13</v>
      </c>
    </row>
    <row r="9" customFormat="false" ht="15" hidden="false" customHeight="false" outlineLevel="0" collapsed="false">
      <c r="A9" s="2" t="s">
        <v>14</v>
      </c>
    </row>
    <row r="10" customFormat="false" ht="15" hidden="false" customHeight="false" outlineLevel="0" collapsed="false">
      <c r="A10" s="2" t="s">
        <v>15</v>
      </c>
    </row>
    <row r="11" customFormat="false" ht="15" hidden="false" customHeight="false" outlineLevel="0" collapsed="false">
      <c r="A11" s="2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23.8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customFormat="false" ht="15" hidden="false" customHeight="false" outlineLevel="0" collapsed="false">
      <c r="A5" s="8" t="s">
        <v>32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4" t="s">
        <v>33</v>
      </c>
      <c r="B6" s="4" t="s">
        <v>34</v>
      </c>
      <c r="C6" s="4" t="s">
        <v>35</v>
      </c>
      <c r="D6" s="10" t="n">
        <v>15</v>
      </c>
      <c r="E6" s="10" t="n">
        <v>51.5</v>
      </c>
      <c r="F6" s="11" t="n">
        <v>369.9</v>
      </c>
      <c r="G6" s="12" t="n">
        <f aca="false">F6/Basis!$B$5*Basis!$B$7</f>
        <v>5.38541613586565</v>
      </c>
      <c r="H6" s="13" t="n">
        <f aca="false">G6/ABS(E6-D6)</f>
        <v>0.147545647557963</v>
      </c>
      <c r="I6" s="10" t="n">
        <v>5</v>
      </c>
      <c r="J6" s="14" t="n">
        <f aca="false">Basis!$B$6</f>
        <v>8760</v>
      </c>
      <c r="K6" s="4" t="s">
        <v>36</v>
      </c>
    </row>
    <row r="7" customFormat="false" ht="15" hidden="false" customHeight="false" outlineLevel="0" collapsed="false">
      <c r="A7" s="4" t="s">
        <v>37</v>
      </c>
      <c r="B7" s="4" t="s">
        <v>38</v>
      </c>
      <c r="C7" s="4" t="s">
        <v>35</v>
      </c>
      <c r="D7" s="10" t="n">
        <v>15</v>
      </c>
      <c r="E7" s="10" t="n">
        <v>54.5</v>
      </c>
      <c r="F7" s="11" t="n">
        <v>823.6</v>
      </c>
      <c r="G7" s="12" t="n">
        <f aca="false">F7/Basis!$B$5*Basis!$B$7</f>
        <v>11.9908859948606</v>
      </c>
      <c r="H7" s="13" t="n">
        <f aca="false">G7/ABS(E7-D7)</f>
        <v>0.303566734047105</v>
      </c>
      <c r="I7" s="10" t="n">
        <v>5</v>
      </c>
      <c r="J7" s="14" t="n">
        <f aca="false">Basis!$B$6</f>
        <v>8760</v>
      </c>
      <c r="K7" s="4" t="s">
        <v>39</v>
      </c>
    </row>
    <row r="8" customFormat="false" ht="15" hidden="false" customHeight="false" outlineLevel="0" collapsed="false">
      <c r="A8" s="4" t="s">
        <v>40</v>
      </c>
      <c r="B8" s="4" t="s">
        <v>41</v>
      </c>
      <c r="C8" s="4" t="s">
        <v>35</v>
      </c>
      <c r="D8" s="10" t="n">
        <v>48</v>
      </c>
      <c r="E8" s="10" t="n">
        <v>65</v>
      </c>
      <c r="F8" s="11" t="n">
        <v>608.7</v>
      </c>
      <c r="G8" s="12" t="n">
        <f aca="false">F8/Basis!$B$5*Basis!$B$7</f>
        <v>8.86213247337502</v>
      </c>
      <c r="H8" s="13" t="n">
        <f aca="false">G8/ABS(E8-D8)</f>
        <v>0.521301910198531</v>
      </c>
      <c r="I8" s="10" t="n">
        <v>5</v>
      </c>
      <c r="J8" s="14" t="n">
        <f aca="false">Basis!$B$6</f>
        <v>8760</v>
      </c>
      <c r="K8" s="4" t="s">
        <v>42</v>
      </c>
    </row>
    <row r="9" customFormat="false" ht="15" hidden="false" customHeight="false" outlineLevel="0" collapsed="false">
      <c r="A9" s="4" t="s">
        <v>43</v>
      </c>
      <c r="B9" s="4" t="s">
        <v>44</v>
      </c>
      <c r="C9" s="4" t="s">
        <v>35</v>
      </c>
      <c r="D9" s="10" t="n">
        <v>65</v>
      </c>
      <c r="E9" s="10" t="n">
        <v>75</v>
      </c>
      <c r="F9" s="11" t="n">
        <v>368.4</v>
      </c>
      <c r="G9" s="12" t="n">
        <f aca="false">F9/Basis!$B$5*Basis!$B$7</f>
        <v>5.36357746540391</v>
      </c>
      <c r="H9" s="13" t="n">
        <f aca="false">G9/ABS(E9-D9)</f>
        <v>0.536357746540391</v>
      </c>
      <c r="I9" s="10" t="n">
        <v>5</v>
      </c>
      <c r="J9" s="14" t="n">
        <f aca="false">Basis!$B$6</f>
        <v>8760</v>
      </c>
      <c r="K9" s="4" t="s">
        <v>45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4" t="s">
        <v>35</v>
      </c>
      <c r="D10" s="10" t="n">
        <v>15</v>
      </c>
      <c r="E10" s="10" t="n">
        <v>80</v>
      </c>
      <c r="F10" s="11" t="n">
        <v>1608.9</v>
      </c>
      <c r="G10" s="12" t="n">
        <f aca="false">F10/Basis!$B$5*Basis!$B$7</f>
        <v>23.4241579372648</v>
      </c>
      <c r="H10" s="13" t="n">
        <f aca="false">G10/ABS(E10-D10)</f>
        <v>0.360371660573304</v>
      </c>
      <c r="I10" s="10" t="n">
        <v>5</v>
      </c>
      <c r="J10" s="14" t="n">
        <f aca="false">Basis!$B$6</f>
        <v>8760</v>
      </c>
      <c r="K10" s="4" t="s">
        <v>48</v>
      </c>
    </row>
    <row r="11" customFormat="false" ht="15" hidden="false" customHeight="false" outlineLevel="0" collapsed="false">
      <c r="A11" s="4" t="s">
        <v>49</v>
      </c>
      <c r="B11" s="4" t="s">
        <v>50</v>
      </c>
      <c r="C11" s="4" t="s">
        <v>35</v>
      </c>
      <c r="D11" s="10" t="n">
        <v>78</v>
      </c>
      <c r="E11" s="10" t="n">
        <v>105</v>
      </c>
      <c r="F11" s="11" t="n">
        <v>1662.9</v>
      </c>
      <c r="G11" s="12" t="n">
        <f aca="false">F11/Basis!$B$5*Basis!$B$7</f>
        <v>24.2103500738875</v>
      </c>
      <c r="H11" s="13" t="n">
        <f aca="false">G11/ABS(E11-D11)</f>
        <v>0.896679632366204</v>
      </c>
      <c r="I11" s="10" t="n">
        <v>5</v>
      </c>
      <c r="J11" s="14" t="n">
        <f aca="false">Basis!$B$6</f>
        <v>8760</v>
      </c>
      <c r="K11" s="4" t="s">
        <v>51</v>
      </c>
    </row>
    <row r="12" customFormat="false" ht="15" hidden="false" customHeight="false" outlineLevel="0" collapsed="false">
      <c r="A12" s="4" t="s">
        <v>52</v>
      </c>
      <c r="B12" s="4" t="s">
        <v>53</v>
      </c>
      <c r="C12" s="4" t="s">
        <v>35</v>
      </c>
      <c r="D12" s="10" t="n">
        <v>105</v>
      </c>
      <c r="E12" s="10" t="n">
        <v>105.1</v>
      </c>
      <c r="F12" s="11" t="n">
        <v>3319.8</v>
      </c>
      <c r="G12" s="12" t="n">
        <f aca="false">F12/Basis!$B$5*Basis!$B$7</f>
        <v>48.333345465928</v>
      </c>
      <c r="H12" s="13" t="n">
        <f aca="false">G12/ABS(E12-D12)</f>
        <v>483.333454659308</v>
      </c>
      <c r="I12" s="10" t="n">
        <v>2</v>
      </c>
      <c r="J12" s="14" t="n">
        <f aca="false">Basis!$B$6</f>
        <v>8760</v>
      </c>
      <c r="K12" s="4" t="s">
        <v>54</v>
      </c>
    </row>
    <row r="13" customFormat="false" ht="15" hidden="false" customHeight="false" outlineLevel="0" collapsed="false">
      <c r="A13" s="4" t="s">
        <v>55</v>
      </c>
      <c r="B13" s="4" t="s">
        <v>56</v>
      </c>
      <c r="C13" s="4" t="s">
        <v>35</v>
      </c>
      <c r="D13" s="10" t="n">
        <v>15</v>
      </c>
      <c r="E13" s="10" t="n">
        <v>80</v>
      </c>
      <c r="F13" s="11" t="n">
        <v>377.933</v>
      </c>
      <c r="G13" s="12" t="n">
        <f aca="false">F13/Basis!$B$5*Basis!$B$7</f>
        <v>5.5023694957451</v>
      </c>
      <c r="H13" s="13" t="n">
        <f aca="false">G13/ABS(E13-D13)</f>
        <v>0.0846518383960784</v>
      </c>
      <c r="I13" s="10" t="n">
        <v>5</v>
      </c>
      <c r="J13" s="14" t="n">
        <f aca="false">Basis!$B$6</f>
        <v>8760</v>
      </c>
      <c r="K13" s="4" t="s">
        <v>57</v>
      </c>
    </row>
    <row r="14" customFormat="false" ht="15" hidden="false" customHeight="false" outlineLevel="0" collapsed="false">
      <c r="A14" s="4" t="s">
        <v>58</v>
      </c>
      <c r="B14" s="4" t="s">
        <v>59</v>
      </c>
      <c r="C14" s="4" t="s">
        <v>35</v>
      </c>
      <c r="D14" s="10" t="n">
        <v>15</v>
      </c>
      <c r="E14" s="10" t="n">
        <v>80</v>
      </c>
      <c r="F14" s="11" t="n">
        <v>1841.1</v>
      </c>
      <c r="G14" s="12" t="n">
        <f aca="false">F14/Basis!$B$5*Basis!$B$7</f>
        <v>26.8047841247425</v>
      </c>
      <c r="H14" s="13" t="n">
        <f aca="false">G14/ABS(E14-D14)</f>
        <v>0.412381294226807</v>
      </c>
      <c r="I14" s="10" t="n">
        <v>5</v>
      </c>
      <c r="J14" s="14" t="n">
        <f aca="false">Basis!$B$6</f>
        <v>8760</v>
      </c>
      <c r="K14" s="4" t="s">
        <v>60</v>
      </c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35</v>
      </c>
      <c r="D15" s="10" t="n">
        <v>1</v>
      </c>
      <c r="E15" s="10" t="n">
        <v>15</v>
      </c>
      <c r="F15" s="11" t="n">
        <v>783.8964</v>
      </c>
      <c r="G15" s="12" t="n">
        <f aca="false">F15/Basis!$B$5*Basis!$B$7</f>
        <v>11.4128367704974</v>
      </c>
      <c r="H15" s="13" t="n">
        <f aca="false">G15/ABS(E15-D15)</f>
        <v>0.815202626464101</v>
      </c>
      <c r="I15" s="10" t="n">
        <v>5</v>
      </c>
      <c r="J15" s="14" t="n">
        <f aca="false">Basis!$B$6</f>
        <v>8760</v>
      </c>
      <c r="K15" s="4" t="s">
        <v>63</v>
      </c>
    </row>
    <row r="16" customFormat="false" ht="15" hidden="false" customHeight="false" outlineLevel="0" collapsed="false">
      <c r="A16" s="4" t="s">
        <v>64</v>
      </c>
      <c r="B16" s="4" t="s">
        <v>65</v>
      </c>
      <c r="C16" s="4" t="s">
        <v>35</v>
      </c>
      <c r="D16" s="10" t="n">
        <v>15</v>
      </c>
      <c r="E16" s="10" t="n">
        <v>70</v>
      </c>
      <c r="F16" s="11" t="n">
        <v>4107.2731</v>
      </c>
      <c r="G16" s="12" t="n">
        <f aca="false">F16/Basis!$B$5*Basis!$B$7</f>
        <v>59.7982558181858</v>
      </c>
      <c r="H16" s="13" t="n">
        <f aca="false">G16/ABS(E16-D16)</f>
        <v>1.08724101487611</v>
      </c>
      <c r="I16" s="10" t="n">
        <v>5</v>
      </c>
      <c r="J16" s="14" t="n">
        <f aca="false">Basis!$B$6</f>
        <v>8760</v>
      </c>
      <c r="K16" s="4" t="s">
        <v>66</v>
      </c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35</v>
      </c>
      <c r="D17" s="10" t="n">
        <v>65</v>
      </c>
      <c r="E17" s="10" t="n">
        <v>85</v>
      </c>
      <c r="F17" s="11" t="n">
        <v>251.9</v>
      </c>
      <c r="G17" s="12" t="n">
        <f aca="false">F17/Basis!$B$5*Basis!$B$7</f>
        <v>3.66744072620859</v>
      </c>
      <c r="H17" s="13" t="n">
        <f aca="false">G17/ABS(E17-D17)</f>
        <v>0.183372036310429</v>
      </c>
      <c r="I17" s="10" t="n">
        <v>5</v>
      </c>
      <c r="J17" s="14" t="n">
        <f aca="false">Basis!$B$6</f>
        <v>8760</v>
      </c>
      <c r="K17" s="4" t="s">
        <v>69</v>
      </c>
    </row>
    <row r="18" customFormat="false" ht="15" hidden="false" customHeight="false" outlineLevel="0" collapsed="false">
      <c r="A18" s="4" t="s">
        <v>70</v>
      </c>
      <c r="B18" s="4" t="s">
        <v>71</v>
      </c>
      <c r="C18" s="4" t="s">
        <v>35</v>
      </c>
      <c r="D18" s="10" t="n">
        <v>40</v>
      </c>
      <c r="E18" s="10" t="n">
        <v>60</v>
      </c>
      <c r="F18" s="11" t="n">
        <v>472.8</v>
      </c>
      <c r="G18" s="12" t="n">
        <f aca="false">F18/Basis!$B$5*Basis!$B$7</f>
        <v>6.88354892954117</v>
      </c>
      <c r="H18" s="13" t="n">
        <f aca="false">G18/ABS(E18-D18)</f>
        <v>0.344177446477059</v>
      </c>
      <c r="I18" s="10" t="n">
        <v>5</v>
      </c>
      <c r="J18" s="14" t="n">
        <f aca="false">Basis!$B$6</f>
        <v>8760</v>
      </c>
      <c r="K18" s="4" t="s">
        <v>72</v>
      </c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35</v>
      </c>
      <c r="D19" s="10" t="n">
        <v>15</v>
      </c>
      <c r="E19" s="10" t="n">
        <v>85</v>
      </c>
      <c r="F19" s="11" t="n">
        <v>1326.9</v>
      </c>
      <c r="G19" s="12" t="n">
        <f aca="false">F19/Basis!$B$5*Basis!$B$7</f>
        <v>19.3184878904572</v>
      </c>
      <c r="H19" s="13" t="n">
        <f aca="false">G19/ABS(E19-D19)</f>
        <v>0.275978398435103</v>
      </c>
      <c r="I19" s="10" t="n">
        <v>5</v>
      </c>
      <c r="J19" s="14" t="n">
        <f aca="false">Basis!$B$6</f>
        <v>8760</v>
      </c>
      <c r="K19" s="4" t="s">
        <v>75</v>
      </c>
    </row>
    <row r="20" customFormat="false" ht="15" hidden="false" customHeight="false" outlineLevel="0" collapsed="false">
      <c r="A20" s="4" t="s">
        <v>76</v>
      </c>
      <c r="B20" s="4" t="s">
        <v>77</v>
      </c>
      <c r="C20" s="4" t="s">
        <v>35</v>
      </c>
      <c r="D20" s="10" t="n">
        <v>15</v>
      </c>
      <c r="E20" s="10" t="n">
        <v>60</v>
      </c>
      <c r="F20" s="11" t="n">
        <v>29.3</v>
      </c>
      <c r="G20" s="12" t="n">
        <f aca="false">F20/Basis!$B$5*Basis!$B$7</f>
        <v>0.426582029686033</v>
      </c>
      <c r="H20" s="13" t="n">
        <f aca="false">G20/ABS(E20-D20)</f>
        <v>0.00947960065968962</v>
      </c>
      <c r="I20" s="10" t="n">
        <v>5</v>
      </c>
      <c r="J20" s="14" t="n">
        <f aca="false">Basis!$B$6</f>
        <v>8760</v>
      </c>
      <c r="K20" s="4" t="s">
        <v>78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4" t="s">
        <v>35</v>
      </c>
      <c r="D21" s="10" t="n">
        <v>35</v>
      </c>
      <c r="E21" s="10" t="n">
        <v>60</v>
      </c>
      <c r="F21" s="11" t="n">
        <v>399.34</v>
      </c>
      <c r="G21" s="12" t="n">
        <f aca="false">F21/Basis!$B$5*Basis!$B$7</f>
        <v>5.81403644146144</v>
      </c>
      <c r="H21" s="13" t="n">
        <f aca="false">G21/ABS(E21-D21)</f>
        <v>0.232561457658458</v>
      </c>
      <c r="I21" s="10" t="n">
        <v>5</v>
      </c>
      <c r="J21" s="14" t="n">
        <f aca="false">Basis!$B$6</f>
        <v>8760</v>
      </c>
      <c r="K21" s="4" t="s">
        <v>81</v>
      </c>
    </row>
    <row r="22" customFormat="false" ht="15" hidden="false" customHeight="false" outlineLevel="0" collapsed="false">
      <c r="A22" s="15"/>
      <c r="B22" s="16" t="s">
        <v>82</v>
      </c>
      <c r="C22" s="15"/>
      <c r="D22" s="15"/>
      <c r="E22" s="15"/>
      <c r="F22" s="17" t="n">
        <f aca="false">SUM(F6:F21)</f>
        <v>18352.6425</v>
      </c>
      <c r="G22" s="18" t="n">
        <f aca="false">SUM(G6:G21)</f>
        <v>267.198207773111</v>
      </c>
      <c r="H22" s="15"/>
      <c r="I22" s="15"/>
      <c r="J22" s="15"/>
      <c r="K22" s="15"/>
    </row>
    <row r="23" customFormat="false" ht="15" hidden="false" customHeight="false" outlineLevel="0" collapsed="false">
      <c r="A23" s="8" t="s">
        <v>83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4" customFormat="false" ht="15" hidden="false" customHeight="false" outlineLevel="0" collapsed="false">
      <c r="A24" s="4" t="s">
        <v>84</v>
      </c>
      <c r="B24" s="4" t="s">
        <v>85</v>
      </c>
      <c r="C24" s="4" t="s">
        <v>86</v>
      </c>
      <c r="D24" s="10" t="n">
        <v>100.1</v>
      </c>
      <c r="E24" s="10" t="n">
        <v>100</v>
      </c>
      <c r="F24" s="11" t="n">
        <v>3505.1</v>
      </c>
      <c r="G24" s="12" t="n">
        <f aca="false">F24/Basis!$B$5*Basis!$B$7</f>
        <v>51.0311492236353</v>
      </c>
      <c r="H24" s="13" t="n">
        <f aca="false">G24/ABS(E24-D24)</f>
        <v>510.311492236382</v>
      </c>
      <c r="I24" s="10" t="n">
        <v>2</v>
      </c>
      <c r="J24" s="14" t="n">
        <f aca="false">Basis!$B$6</f>
        <v>8760</v>
      </c>
      <c r="K24" s="4" t="s">
        <v>87</v>
      </c>
    </row>
    <row r="25" customFormat="false" ht="15" hidden="false" customHeight="false" outlineLevel="0" collapsed="false">
      <c r="A25" s="4" t="s">
        <v>88</v>
      </c>
      <c r="B25" s="4" t="s">
        <v>89</v>
      </c>
      <c r="C25" s="4" t="s">
        <v>86</v>
      </c>
      <c r="D25" s="10" t="n">
        <v>100</v>
      </c>
      <c r="E25" s="10" t="n">
        <v>25</v>
      </c>
      <c r="F25" s="11" t="n">
        <v>482.8</v>
      </c>
      <c r="G25" s="12" t="n">
        <f aca="false">F25/Basis!$B$5*Basis!$B$7</f>
        <v>7.02914006595278</v>
      </c>
      <c r="H25" s="13" t="n">
        <f aca="false">G25/ABS(E25-D25)</f>
        <v>0.0937218675460371</v>
      </c>
      <c r="I25" s="10" t="n">
        <v>5</v>
      </c>
      <c r="J25" s="14" t="n">
        <f aca="false">Basis!$B$6</f>
        <v>8760</v>
      </c>
      <c r="K25" s="4" t="s">
        <v>90</v>
      </c>
    </row>
    <row r="26" customFormat="false" ht="15" hidden="false" customHeight="false" outlineLevel="0" collapsed="false">
      <c r="A26" s="4" t="s">
        <v>91</v>
      </c>
      <c r="B26" s="4" t="s">
        <v>92</v>
      </c>
      <c r="C26" s="4" t="s">
        <v>86</v>
      </c>
      <c r="D26" s="10" t="n">
        <v>102.5</v>
      </c>
      <c r="E26" s="10" t="n">
        <v>10</v>
      </c>
      <c r="F26" s="11" t="n">
        <v>5434.6</v>
      </c>
      <c r="G26" s="12" t="n">
        <f aca="false">F26/Basis!$B$5*Basis!$B$7</f>
        <v>79.1229589942564</v>
      </c>
      <c r="H26" s="13" t="n">
        <f aca="false">G26/ABS(E26-D26)</f>
        <v>0.855383340478448</v>
      </c>
      <c r="I26" s="10" t="n">
        <v>5</v>
      </c>
      <c r="J26" s="14" t="n">
        <f aca="false">Basis!$B$6</f>
        <v>8760</v>
      </c>
      <c r="K26" s="4" t="s">
        <v>93</v>
      </c>
    </row>
    <row r="27" customFormat="false" ht="15" hidden="false" customHeight="false" outlineLevel="0" collapsed="false">
      <c r="A27" s="4" t="s">
        <v>94</v>
      </c>
      <c r="B27" s="4" t="s">
        <v>95</v>
      </c>
      <c r="C27" s="4" t="s">
        <v>86</v>
      </c>
      <c r="D27" s="10" t="n">
        <v>10</v>
      </c>
      <c r="E27" s="10" t="n">
        <v>9.9</v>
      </c>
      <c r="F27" s="11" t="n">
        <v>534.8</v>
      </c>
      <c r="G27" s="12" t="n">
        <f aca="false">F27/Basis!$B$5*Basis!$B$7</f>
        <v>7.78621397529318</v>
      </c>
      <c r="H27" s="13" t="n">
        <f aca="false">G27/ABS(E27-D27)</f>
        <v>77.8621397529321</v>
      </c>
      <c r="I27" s="10" t="n">
        <v>5</v>
      </c>
      <c r="J27" s="14" t="n">
        <f aca="false">Basis!$B$6</f>
        <v>8760</v>
      </c>
      <c r="K27" s="4" t="s">
        <v>96</v>
      </c>
    </row>
    <row r="28" customFormat="false" ht="15" hidden="false" customHeight="false" outlineLevel="0" collapsed="false">
      <c r="A28" s="4" t="s">
        <v>97</v>
      </c>
      <c r="B28" s="4" t="s">
        <v>98</v>
      </c>
      <c r="C28" s="4" t="s">
        <v>86</v>
      </c>
      <c r="D28" s="10" t="n">
        <v>10</v>
      </c>
      <c r="E28" s="10" t="n">
        <v>6</v>
      </c>
      <c r="F28" s="11" t="n">
        <v>233.8</v>
      </c>
      <c r="G28" s="12" t="n">
        <f aca="false">F28/Basis!$B$5*Basis!$B$7</f>
        <v>3.40392076930356</v>
      </c>
      <c r="H28" s="13" t="n">
        <f aca="false">G28/ABS(E28-D28)</f>
        <v>0.850980192325891</v>
      </c>
      <c r="I28" s="10" t="n">
        <v>5</v>
      </c>
      <c r="J28" s="14" t="n">
        <f aca="false">Basis!$B$6</f>
        <v>8760</v>
      </c>
      <c r="K28" s="4" t="s">
        <v>99</v>
      </c>
    </row>
    <row r="29" customFormat="false" ht="15" hidden="false" customHeight="false" outlineLevel="0" collapsed="false">
      <c r="A29" s="4" t="s">
        <v>100</v>
      </c>
      <c r="B29" s="4" t="s">
        <v>101</v>
      </c>
      <c r="C29" s="4" t="s">
        <v>86</v>
      </c>
      <c r="D29" s="10" t="n">
        <v>6</v>
      </c>
      <c r="E29" s="10" t="n">
        <v>5.9</v>
      </c>
      <c r="F29" s="11" t="n">
        <v>425.5</v>
      </c>
      <c r="G29" s="12" t="n">
        <f aca="false">F29/Basis!$B$5*Basis!$B$7</f>
        <v>6.19490285431423</v>
      </c>
      <c r="H29" s="13" t="n">
        <f aca="false">G29/ABS(E29-D29)</f>
        <v>61.9490285431425</v>
      </c>
      <c r="I29" s="10" t="n">
        <v>5</v>
      </c>
      <c r="J29" s="14" t="n">
        <f aca="false">Basis!$B$6</f>
        <v>8760</v>
      </c>
      <c r="K29" s="4" t="s">
        <v>102</v>
      </c>
    </row>
    <row r="30" customFormat="false" ht="15" hidden="false" customHeight="false" outlineLevel="0" collapsed="false">
      <c r="A30" s="4" t="s">
        <v>103</v>
      </c>
      <c r="B30" s="4" t="s">
        <v>104</v>
      </c>
      <c r="C30" s="4" t="s">
        <v>86</v>
      </c>
      <c r="D30" s="10" t="n">
        <v>6</v>
      </c>
      <c r="E30" s="10" t="n">
        <v>1</v>
      </c>
      <c r="F30" s="11" t="n">
        <v>714.5</v>
      </c>
      <c r="G30" s="12" t="n">
        <f aca="false">F30/Basis!$B$5*Basis!$B$7</f>
        <v>10.4024866966099</v>
      </c>
      <c r="H30" s="13" t="n">
        <f aca="false">G30/ABS(E30-D30)</f>
        <v>2.08049733932198</v>
      </c>
      <c r="I30" s="10" t="n">
        <v>5</v>
      </c>
      <c r="J30" s="14" t="n">
        <f aca="false">Basis!$B$6</f>
        <v>8760</v>
      </c>
      <c r="K30" s="4" t="s">
        <v>105</v>
      </c>
    </row>
    <row r="31" customFormat="false" ht="15" hidden="false" customHeight="false" outlineLevel="0" collapsed="false">
      <c r="A31" s="4" t="s">
        <v>106</v>
      </c>
      <c r="B31" s="4" t="s">
        <v>107</v>
      </c>
      <c r="C31" s="4" t="s">
        <v>86</v>
      </c>
      <c r="D31" s="10" t="n">
        <v>1</v>
      </c>
      <c r="E31" s="10" t="n">
        <v>0.9</v>
      </c>
      <c r="F31" s="11" t="n">
        <v>427.7</v>
      </c>
      <c r="G31" s="12" t="n">
        <f aca="false">F31/Basis!$B$5*Basis!$B$7</f>
        <v>6.22693290432478</v>
      </c>
      <c r="H31" s="13" t="n">
        <f aca="false">G31/ABS(E31-D31)</f>
        <v>62.2693290432479</v>
      </c>
      <c r="I31" s="10" t="n">
        <v>5</v>
      </c>
      <c r="J31" s="14" t="n">
        <f aca="false">Basis!$B$6</f>
        <v>8760</v>
      </c>
      <c r="K31" s="4" t="s">
        <v>108</v>
      </c>
    </row>
    <row r="32" customFormat="false" ht="15" hidden="false" customHeight="false" outlineLevel="0" collapsed="false">
      <c r="A32" s="4" t="s">
        <v>109</v>
      </c>
      <c r="B32" s="4" t="s">
        <v>110</v>
      </c>
      <c r="C32" s="4" t="s">
        <v>86</v>
      </c>
      <c r="D32" s="10" t="n">
        <v>70</v>
      </c>
      <c r="E32" s="10" t="n">
        <v>5</v>
      </c>
      <c r="F32" s="11" t="n">
        <v>4858.4</v>
      </c>
      <c r="G32" s="12" t="n">
        <f aca="false">F32/Basis!$B$5*Basis!$B$7</f>
        <v>70.7339977142191</v>
      </c>
      <c r="H32" s="13" t="n">
        <f aca="false">G32/ABS(E32-D32)</f>
        <v>1.08821534944953</v>
      </c>
      <c r="I32" s="10" t="n">
        <v>5</v>
      </c>
      <c r="J32" s="14" t="n">
        <f aca="false">Basis!$B$6</f>
        <v>8760</v>
      </c>
      <c r="K32" s="4" t="s">
        <v>111</v>
      </c>
    </row>
    <row r="33" customFormat="false" ht="15" hidden="false" customHeight="false" outlineLevel="0" collapsed="false">
      <c r="A33" s="4" t="s">
        <v>112</v>
      </c>
      <c r="B33" s="4" t="s">
        <v>113</v>
      </c>
      <c r="C33" s="4" t="s">
        <v>86</v>
      </c>
      <c r="D33" s="10" t="n">
        <v>85</v>
      </c>
      <c r="E33" s="10" t="n">
        <v>60</v>
      </c>
      <c r="F33" s="11" t="n">
        <v>472.7</v>
      </c>
      <c r="G33" s="12" t="n">
        <f aca="false">F33/Basis!$B$5*Basis!$B$7</f>
        <v>6.88209301817705</v>
      </c>
      <c r="H33" s="13" t="n">
        <f aca="false">G33/ABS(E33-D33)</f>
        <v>0.275283720727082</v>
      </c>
      <c r="I33" s="10" t="n">
        <v>5</v>
      </c>
      <c r="J33" s="14" t="n">
        <f aca="false">Basis!$B$6</f>
        <v>8760</v>
      </c>
      <c r="K33" s="4" t="s">
        <v>114</v>
      </c>
    </row>
    <row r="34" customFormat="false" ht="15" hidden="false" customHeight="false" outlineLevel="0" collapsed="false">
      <c r="A34" s="4" t="s">
        <v>115</v>
      </c>
      <c r="B34" s="4" t="s">
        <v>116</v>
      </c>
      <c r="C34" s="4" t="s">
        <v>86</v>
      </c>
      <c r="D34" s="10" t="n">
        <v>40</v>
      </c>
      <c r="E34" s="10" t="n">
        <v>20</v>
      </c>
      <c r="F34" s="11" t="n">
        <v>713.7</v>
      </c>
      <c r="G34" s="12" t="n">
        <f aca="false">F34/Basis!$B$5*Basis!$B$7</f>
        <v>10.390839405697</v>
      </c>
      <c r="H34" s="13" t="n">
        <f aca="false">G34/ABS(E34-D34)</f>
        <v>0.519541970284849</v>
      </c>
      <c r="I34" s="10" t="n">
        <v>5</v>
      </c>
      <c r="J34" s="14" t="n">
        <f aca="false">Basis!$B$6</f>
        <v>8760</v>
      </c>
      <c r="K34" s="4" t="s">
        <v>117</v>
      </c>
    </row>
    <row r="35" customFormat="false" ht="15" hidden="false" customHeight="false" outlineLevel="0" collapsed="false">
      <c r="A35" s="15"/>
      <c r="B35" s="16" t="s">
        <v>118</v>
      </c>
      <c r="C35" s="15"/>
      <c r="D35" s="15"/>
      <c r="E35" s="15"/>
      <c r="F35" s="17" t="n">
        <f aca="false">SUM(F24:F34)</f>
        <v>17803.6</v>
      </c>
      <c r="G35" s="18" t="n">
        <f aca="false">SUM(G24:G34)</f>
        <v>259.204635621783</v>
      </c>
      <c r="H35" s="15"/>
      <c r="I35" s="15"/>
      <c r="J35" s="15"/>
      <c r="K35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119</v>
      </c>
    </row>
    <row r="3" customFormat="false" ht="23.85" hidden="false" customHeight="false" outlineLevel="0" collapsed="false">
      <c r="A3" s="3" t="s">
        <v>22</v>
      </c>
      <c r="B3" s="3" t="s">
        <v>120</v>
      </c>
      <c r="C3" s="3" t="s">
        <v>121</v>
      </c>
      <c r="D3" s="3" t="s">
        <v>122</v>
      </c>
      <c r="E3" s="3" t="s">
        <v>123</v>
      </c>
    </row>
    <row r="4" customFormat="false" ht="15" hidden="false" customHeight="false" outlineLevel="0" collapsed="false">
      <c r="A4" s="8" t="s">
        <v>124</v>
      </c>
      <c r="B4" s="9"/>
      <c r="C4" s="9"/>
      <c r="D4" s="9"/>
      <c r="E4" s="9"/>
    </row>
    <row r="5" customFormat="false" ht="15" hidden="false" customHeight="false" outlineLevel="0" collapsed="false">
      <c r="A5" s="4" t="s">
        <v>125</v>
      </c>
      <c r="B5" s="4" t="s">
        <v>126</v>
      </c>
      <c r="C5" s="11" t="n">
        <v>9608.04</v>
      </c>
      <c r="D5" s="19" t="n">
        <f aca="false">C5/Basis!$B$5*Basis!$B$7</f>
        <v>139.884546228826</v>
      </c>
      <c r="E5" s="4" t="s">
        <v>127</v>
      </c>
    </row>
    <row r="6" customFormat="false" ht="15" hidden="false" customHeight="false" outlineLevel="0" collapsed="false">
      <c r="A6" s="4" t="s">
        <v>128</v>
      </c>
      <c r="B6" s="4" t="s">
        <v>126</v>
      </c>
      <c r="C6" s="11" t="n">
        <v>790.92</v>
      </c>
      <c r="D6" s="19" t="n">
        <f aca="false">C6/Basis!$B$5*Basis!$B$7</f>
        <v>11.5150941610675</v>
      </c>
      <c r="E6" s="4" t="s">
        <v>127</v>
      </c>
    </row>
    <row r="7" customFormat="false" ht="15" hidden="false" customHeight="false" outlineLevel="0" collapsed="false">
      <c r="A7" s="4" t="s">
        <v>129</v>
      </c>
      <c r="B7" s="4" t="s">
        <v>126</v>
      </c>
      <c r="C7" s="11" t="n">
        <v>26664.12</v>
      </c>
      <c r="D7" s="19" t="n">
        <f aca="false">C7/Basis!$B$5*Basis!$B$7</f>
        <v>388.205953221568</v>
      </c>
      <c r="E7" s="4" t="s">
        <v>127</v>
      </c>
    </row>
    <row r="8" customFormat="false" ht="15" hidden="false" customHeight="false" outlineLevel="0" collapsed="false">
      <c r="A8" s="4" t="s">
        <v>130</v>
      </c>
      <c r="B8" s="4" t="s">
        <v>126</v>
      </c>
      <c r="C8" s="11" t="n">
        <v>21286.8</v>
      </c>
      <c r="D8" s="19" t="n">
        <f aca="false">C8/Basis!$B$5*Basis!$B$7</f>
        <v>309.916940256677</v>
      </c>
      <c r="E8" s="4" t="s">
        <v>127</v>
      </c>
    </row>
    <row r="9" customFormat="false" ht="15" hidden="false" customHeight="false" outlineLevel="0" collapsed="false">
      <c r="A9" s="4" t="s">
        <v>131</v>
      </c>
      <c r="B9" s="4" t="s">
        <v>126</v>
      </c>
      <c r="C9" s="11" t="n">
        <v>5000.4</v>
      </c>
      <c r="D9" s="19" t="n">
        <f aca="false">C9/Basis!$B$5*Basis!$B$7</f>
        <v>72.8013918512641</v>
      </c>
      <c r="E9" s="4" t="s">
        <v>127</v>
      </c>
    </row>
    <row r="10" customFormat="false" ht="15" hidden="false" customHeight="false" outlineLevel="0" collapsed="false">
      <c r="A10" s="4" t="s">
        <v>132</v>
      </c>
      <c r="B10" s="4" t="s">
        <v>126</v>
      </c>
      <c r="C10" s="11" t="n">
        <v>16299.2084</v>
      </c>
      <c r="D10" s="19" t="n">
        <f aca="false">C10/Basis!$B$5*Basis!$B$7</f>
        <v>237.302027356575</v>
      </c>
      <c r="E10" s="4" t="s">
        <v>127</v>
      </c>
    </row>
    <row r="11" customFormat="false" ht="15" hidden="false" customHeight="false" outlineLevel="0" collapsed="false">
      <c r="A11" s="4" t="s">
        <v>133</v>
      </c>
      <c r="B11" s="4" t="s">
        <v>126</v>
      </c>
      <c r="C11" s="11" t="n">
        <v>24361.2</v>
      </c>
      <c r="D11" s="19" t="n">
        <f aca="false">C11/Basis!$B$5*Basis!$B$7</f>
        <v>354.677479235064</v>
      </c>
      <c r="E11" s="4" t="s">
        <v>127</v>
      </c>
    </row>
    <row r="12" customFormat="false" ht="15" hidden="false" customHeight="false" outlineLevel="0" collapsed="false">
      <c r="A12" s="4" t="s">
        <v>134</v>
      </c>
      <c r="B12" s="4" t="s">
        <v>126</v>
      </c>
      <c r="C12" s="11" t="n">
        <v>1373.76</v>
      </c>
      <c r="D12" s="19" t="n">
        <f aca="false">C12/Basis!$B$5*Basis!$B$7</f>
        <v>20.0007279556821</v>
      </c>
      <c r="E12" s="4" t="s">
        <v>127</v>
      </c>
    </row>
    <row r="13" customFormat="false" ht="15" hidden="false" customHeight="false" outlineLevel="0" collapsed="false">
      <c r="A13" s="4" t="s">
        <v>135</v>
      </c>
      <c r="B13" s="4" t="s">
        <v>126</v>
      </c>
      <c r="C13" s="11" t="n">
        <v>30093.84</v>
      </c>
      <c r="D13" s="19" t="n">
        <f aca="false">C13/Basis!$B$5*Basis!$B$7</f>
        <v>438.139636458932</v>
      </c>
      <c r="E13" s="4" t="s">
        <v>127</v>
      </c>
    </row>
    <row r="14" customFormat="false" ht="15" hidden="false" customHeight="false" outlineLevel="0" collapsed="false">
      <c r="A14" s="16" t="s">
        <v>136</v>
      </c>
      <c r="B14" s="15"/>
      <c r="C14" s="20" t="n">
        <f aca="false">SUM(C5:C13)</f>
        <v>135478.2884</v>
      </c>
      <c r="D14" s="20" t="n">
        <f aca="false">SUM(D5:D13)</f>
        <v>1972.44379672566</v>
      </c>
      <c r="E14" s="15"/>
    </row>
    <row r="15" customFormat="false" ht="15" hidden="false" customHeight="false" outlineLevel="0" collapsed="false">
      <c r="A15" s="8" t="s">
        <v>137</v>
      </c>
      <c r="B15" s="9"/>
      <c r="C15" s="9"/>
      <c r="D15" s="9"/>
      <c r="E15" s="9"/>
    </row>
    <row r="16" customFormat="false" ht="15" hidden="false" customHeight="false" outlineLevel="0" collapsed="false">
      <c r="A16" s="4" t="s">
        <v>138</v>
      </c>
      <c r="B16" s="4" t="s">
        <v>139</v>
      </c>
      <c r="C16" s="11" t="n">
        <v>68685.48</v>
      </c>
      <c r="D16" s="19" t="n">
        <f aca="false">C16/Basis!$B$5*Basis!$B$7</f>
        <v>999.999708817727</v>
      </c>
      <c r="E16" s="4" t="s">
        <v>140</v>
      </c>
    </row>
    <row r="17" customFormat="false" ht="15" hidden="false" customHeight="false" outlineLevel="0" collapsed="false">
      <c r="A17" s="4" t="s">
        <v>141</v>
      </c>
      <c r="B17" s="4" t="s">
        <v>139</v>
      </c>
      <c r="C17" s="11" t="n">
        <v>2729.88</v>
      </c>
      <c r="D17" s="19" t="n">
        <f aca="false">C17/Basis!$B$5*Basis!$B$7</f>
        <v>39.744633146734</v>
      </c>
      <c r="E17" s="4" t="s">
        <v>142</v>
      </c>
    </row>
    <row r="18" customFormat="false" ht="15" hidden="false" customHeight="false" outlineLevel="0" collapsed="false">
      <c r="A18" s="4" t="s">
        <v>143</v>
      </c>
      <c r="B18" s="4" t="s">
        <v>139</v>
      </c>
      <c r="C18" s="11" t="n">
        <v>5562</v>
      </c>
      <c r="D18" s="19" t="n">
        <f aca="false">C18/Basis!$B$5*Basis!$B$7</f>
        <v>80.9777900721404</v>
      </c>
      <c r="E18" s="4" t="s">
        <v>144</v>
      </c>
    </row>
    <row r="19" customFormat="false" ht="15" hidden="false" customHeight="false" outlineLevel="0" collapsed="false">
      <c r="A19" s="4" t="s">
        <v>145</v>
      </c>
      <c r="B19" s="4" t="s">
        <v>139</v>
      </c>
      <c r="C19" s="11" t="n">
        <v>110.16</v>
      </c>
      <c r="D19" s="19" t="n">
        <f aca="false">C19/Basis!$B$5*Basis!$B$7</f>
        <v>1.60383195871035</v>
      </c>
      <c r="E19" s="4" t="s">
        <v>144</v>
      </c>
    </row>
    <row r="20" customFormat="false" ht="15" hidden="false" customHeight="false" outlineLevel="0" collapsed="false">
      <c r="A20" s="4" t="s">
        <v>146</v>
      </c>
      <c r="B20" s="4" t="s">
        <v>139</v>
      </c>
      <c r="C20" s="11" t="n">
        <v>2561.9684</v>
      </c>
      <c r="D20" s="19" t="n">
        <f aca="false">C20/Basis!$B$5*Basis!$B$7</f>
        <v>37.2999890806648</v>
      </c>
      <c r="E20" s="4" t="s">
        <v>147</v>
      </c>
    </row>
    <row r="21" customFormat="false" ht="15" hidden="false" customHeight="false" outlineLevel="0" collapsed="false">
      <c r="A21" s="4" t="s">
        <v>148</v>
      </c>
      <c r="B21" s="4" t="s">
        <v>139</v>
      </c>
      <c r="C21" s="11" t="n">
        <v>24361.2</v>
      </c>
      <c r="D21" s="19" t="n">
        <f aca="false">C21/Basis!$B$5*Basis!$B$7</f>
        <v>354.677479235064</v>
      </c>
      <c r="E21" s="4" t="s">
        <v>149</v>
      </c>
    </row>
    <row r="22" customFormat="false" ht="15" hidden="false" customHeight="false" outlineLevel="0" collapsed="false">
      <c r="A22" s="4" t="s">
        <v>150</v>
      </c>
      <c r="B22" s="4" t="s">
        <v>139</v>
      </c>
      <c r="C22" s="11" t="n">
        <v>31467.6</v>
      </c>
      <c r="D22" s="19" t="n">
        <f aca="false">C22/Basis!$B$5*Basis!$B$7</f>
        <v>458.140364414614</v>
      </c>
      <c r="E22" s="4" t="s">
        <v>151</v>
      </c>
    </row>
    <row r="23" customFormat="false" ht="15" hidden="false" customHeight="false" outlineLevel="0" collapsed="false">
      <c r="A23" s="16" t="s">
        <v>152</v>
      </c>
      <c r="B23" s="15"/>
      <c r="C23" s="20" t="n">
        <f aca="false">SUM(C16:C22)</f>
        <v>135478.2884</v>
      </c>
      <c r="D23" s="20" t="n">
        <f aca="false">SUM(D16:D22)</f>
        <v>1972.44379672566</v>
      </c>
      <c r="E23" s="15"/>
    </row>
    <row r="24" customFormat="false" ht="15" hidden="false" customHeight="false" outlineLevel="0" collapsed="false">
      <c r="A24" s="8" t="s">
        <v>153</v>
      </c>
      <c r="B24" s="9"/>
      <c r="C24" s="9"/>
      <c r="D24" s="9"/>
      <c r="E24" s="9"/>
    </row>
    <row r="25" customFormat="false" ht="15" hidden="false" customHeight="false" outlineLevel="0" collapsed="false">
      <c r="A25" s="4" t="s">
        <v>154</v>
      </c>
      <c r="B25" s="4"/>
      <c r="C25" s="11" t="n">
        <v>37063.08</v>
      </c>
      <c r="D25" s="19" t="n">
        <f aca="false">C25/Basis!$B$5*Basis!$B$7</f>
        <v>539.605593611461</v>
      </c>
      <c r="E25" s="4" t="s">
        <v>142</v>
      </c>
    </row>
    <row r="26" customFormat="false" ht="15" hidden="false" customHeight="false" outlineLevel="0" collapsed="false">
      <c r="A26" s="4" t="s">
        <v>155</v>
      </c>
      <c r="B26" s="4"/>
      <c r="C26" s="11" t="n">
        <v>55620</v>
      </c>
      <c r="D26" s="19" t="n">
        <f aca="false">C26/Basis!$B$5*Basis!$B$7</f>
        <v>809.777900721404</v>
      </c>
      <c r="E26" s="4" t="s">
        <v>156</v>
      </c>
    </row>
    <row r="27" customFormat="false" ht="15" hidden="false" customHeight="false" outlineLevel="0" collapsed="false">
      <c r="A27" s="4" t="s">
        <v>157</v>
      </c>
      <c r="B27" s="4"/>
      <c r="C27" s="11" t="n">
        <v>54948.24</v>
      </c>
      <c r="D27" s="19" t="n">
        <f aca="false">C27/Basis!$B$5*Basis!$B$7</f>
        <v>799.997670541817</v>
      </c>
      <c r="E27" s="4" t="s">
        <v>147</v>
      </c>
    </row>
    <row r="28" customFormat="false" ht="15" hidden="false" customHeight="false" outlineLevel="0" collapsed="false">
      <c r="A28" s="4" t="s">
        <v>158</v>
      </c>
      <c r="B28" s="4"/>
      <c r="C28" s="11" t="n">
        <v>52386.2716</v>
      </c>
      <c r="D28" s="19" t="n">
        <f aca="false">C28/Basis!$B$5*Basis!$B$7</f>
        <v>762.697681461153</v>
      </c>
      <c r="E28" s="4" t="s">
        <v>159</v>
      </c>
    </row>
    <row r="30" customFormat="false" ht="15" hidden="false" customHeight="false" outlineLevel="0" collapsed="false">
      <c r="A30" s="21" t="s">
        <v>160</v>
      </c>
      <c r="C30" s="22" t="n">
        <f aca="false">C14-C23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163</v>
      </c>
      <c r="B5" s="10" t="n">
        <v>9.5</v>
      </c>
      <c r="C5" s="4" t="s">
        <v>164</v>
      </c>
      <c r="D5" s="4" t="s">
        <v>165</v>
      </c>
    </row>
    <row r="6" customFormat="false" ht="15" hidden="false" customHeight="false" outlineLevel="0" collapsed="false">
      <c r="A6" s="4" t="s">
        <v>166</v>
      </c>
      <c r="B6" s="10" t="n">
        <v>1.01</v>
      </c>
      <c r="C6" s="4" t="s">
        <v>167</v>
      </c>
      <c r="D6" s="4" t="s">
        <v>168</v>
      </c>
    </row>
    <row r="7" customFormat="false" ht="15" hidden="false" customHeight="false" outlineLevel="0" collapsed="false">
      <c r="A7" s="4" t="s">
        <v>169</v>
      </c>
      <c r="B7" s="23" t="n">
        <f aca="false">B5/(B6*0.1)</f>
        <v>94.0594059405941</v>
      </c>
      <c r="C7" s="4" t="s">
        <v>170</v>
      </c>
      <c r="D7" s="15"/>
    </row>
    <row r="9" customFormat="false" ht="23.85" hidden="false" customHeight="false" outlineLevel="0" collapsed="false">
      <c r="A9" s="3" t="s">
        <v>171</v>
      </c>
      <c r="B9" s="3" t="s">
        <v>172</v>
      </c>
      <c r="C9" s="3" t="s">
        <v>173</v>
      </c>
      <c r="D9" s="3" t="s">
        <v>174</v>
      </c>
      <c r="E9" s="3" t="s">
        <v>175</v>
      </c>
    </row>
    <row r="10" customFormat="false" ht="15" hidden="false" customHeight="false" outlineLevel="0" collapsed="false">
      <c r="A10" s="4" t="s">
        <v>176</v>
      </c>
      <c r="B10" s="7" t="n">
        <v>25</v>
      </c>
      <c r="C10" s="23" t="n">
        <f aca="false">$B$7*B10/SUM($B$10:$B$16)*Basis!$B$7</f>
        <v>21.6726741798604</v>
      </c>
      <c r="D10" s="24" t="n">
        <f aca="false">C10*Basis!$B$5/Basis!$B$7</f>
        <v>1488.5984623808</v>
      </c>
      <c r="E10" s="4" t="s">
        <v>177</v>
      </c>
    </row>
    <row r="11" customFormat="false" ht="15" hidden="false" customHeight="false" outlineLevel="0" collapsed="false">
      <c r="A11" s="4" t="s">
        <v>178</v>
      </c>
      <c r="B11" s="7" t="n">
        <v>10</v>
      </c>
      <c r="C11" s="23" t="n">
        <f aca="false">$B$7*B11/SUM($B$10:$B$16)*Basis!$B$7</f>
        <v>8.66906967194415</v>
      </c>
      <c r="D11" s="24" t="n">
        <f aca="false">C11*Basis!$B$5/Basis!$B$7</f>
        <v>595.43938495232</v>
      </c>
      <c r="E11" s="4" t="s">
        <v>179</v>
      </c>
    </row>
    <row r="12" customFormat="false" ht="15" hidden="false" customHeight="false" outlineLevel="0" collapsed="false">
      <c r="A12" s="4" t="s">
        <v>180</v>
      </c>
      <c r="B12" s="7" t="n">
        <v>7.5</v>
      </c>
      <c r="C12" s="23" t="n">
        <f aca="false">$B$7*B12/SUM($B$10:$B$16)*Basis!$B$7</f>
        <v>6.50180225395812</v>
      </c>
      <c r="D12" s="24" t="n">
        <f aca="false">C12*Basis!$B$5/Basis!$B$7</f>
        <v>446.57953871424</v>
      </c>
      <c r="E12" s="4" t="s">
        <v>181</v>
      </c>
    </row>
    <row r="13" customFormat="false" ht="15" hidden="false" customHeight="false" outlineLevel="0" collapsed="false">
      <c r="A13" s="4" t="s">
        <v>182</v>
      </c>
      <c r="B13" s="7" t="n">
        <v>6</v>
      </c>
      <c r="C13" s="23" t="n">
        <f aca="false">$B$7*B13/SUM($B$10:$B$16)*Basis!$B$7</f>
        <v>5.20144180316649</v>
      </c>
      <c r="D13" s="24" t="n">
        <f aca="false">C13*Basis!$B$5/Basis!$B$7</f>
        <v>357.263630971392</v>
      </c>
      <c r="E13" s="4" t="s">
        <v>183</v>
      </c>
    </row>
    <row r="14" customFormat="false" ht="15" hidden="false" customHeight="false" outlineLevel="0" collapsed="false">
      <c r="A14" s="4" t="s">
        <v>184</v>
      </c>
      <c r="B14" s="7" t="n">
        <v>20</v>
      </c>
      <c r="C14" s="23" t="n">
        <f aca="false">$B$7*B14/SUM($B$10:$B$16)*Basis!$B$7</f>
        <v>17.3381393438883</v>
      </c>
      <c r="D14" s="24" t="n">
        <f aca="false">C14*Basis!$B$5/Basis!$B$7</f>
        <v>1190.87876990464</v>
      </c>
      <c r="E14" s="4" t="s">
        <v>185</v>
      </c>
    </row>
    <row r="15" customFormat="false" ht="15" hidden="false" customHeight="false" outlineLevel="0" collapsed="false">
      <c r="A15" s="4" t="s">
        <v>186</v>
      </c>
      <c r="B15" s="7" t="n">
        <v>35</v>
      </c>
      <c r="C15" s="23" t="n">
        <f aca="false">$B$7*B15/SUM($B$10:$B$16)*Basis!$B$7</f>
        <v>30.3417438518045</v>
      </c>
      <c r="D15" s="24" t="n">
        <f aca="false">C15*Basis!$B$5/Basis!$B$7</f>
        <v>2084.03784733312</v>
      </c>
      <c r="E15" s="4" t="s">
        <v>187</v>
      </c>
    </row>
    <row r="16" customFormat="false" ht="15" hidden="false" customHeight="false" outlineLevel="0" collapsed="false">
      <c r="A16" s="4" t="s">
        <v>188</v>
      </c>
      <c r="B16" s="7" t="n">
        <v>5</v>
      </c>
      <c r="C16" s="23" t="n">
        <f aca="false">$B$7*B16/SUM($B$10:$B$16)*Basis!$B$7</f>
        <v>4.33453483597208</v>
      </c>
      <c r="D16" s="24" t="n">
        <f aca="false">C16*Basis!$B$5/Basis!$B$7</f>
        <v>297.71969247616</v>
      </c>
      <c r="E16" s="4" t="s">
        <v>189</v>
      </c>
    </row>
    <row r="17" customFormat="false" ht="15" hidden="false" customHeight="false" outlineLevel="0" collapsed="false">
      <c r="A17" s="16" t="s">
        <v>190</v>
      </c>
      <c r="B17" s="15"/>
      <c r="C17" s="25" t="n">
        <f aca="false">SUM(C10:C14)</f>
        <v>59.3831272528174</v>
      </c>
      <c r="D17" s="17" t="n">
        <f aca="false">C17*Basis!$B$5/Basis!$B$7</f>
        <v>4078.75978692339</v>
      </c>
      <c r="E17" s="15"/>
    </row>
    <row r="18" customFormat="false" ht="15" hidden="false" customHeight="false" outlineLevel="0" collapsed="false">
      <c r="A18" s="16" t="s">
        <v>191</v>
      </c>
      <c r="B18" s="15"/>
      <c r="C18" s="15"/>
      <c r="D18" s="17" t="n">
        <f aca="false">D17*Basis!$B$6/1000</f>
        <v>35729.9357334489</v>
      </c>
      <c r="E18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192</v>
      </c>
    </row>
    <row r="2" customFormat="false" ht="15" hidden="false" customHeight="false" outlineLevel="0" collapsed="false">
      <c r="A2" s="2" t="s">
        <v>193</v>
      </c>
    </row>
    <row r="4" customFormat="false" ht="15" hidden="false" customHeight="false" outlineLevel="0" collapsed="false">
      <c r="A4" s="3" t="s">
        <v>194</v>
      </c>
      <c r="B4" s="3" t="s">
        <v>195</v>
      </c>
      <c r="C4" s="3" t="s">
        <v>196</v>
      </c>
      <c r="D4" s="3" t="s">
        <v>197</v>
      </c>
    </row>
    <row r="5" customFormat="false" ht="15" hidden="false" customHeight="false" outlineLevel="0" collapsed="false">
      <c r="A5" s="4" t="s">
        <v>198</v>
      </c>
      <c r="B5" s="26" t="n">
        <v>267.1983</v>
      </c>
      <c r="C5" s="24" t="n">
        <f aca="false">B5*Basis!$B$5</f>
        <v>18352.64883465</v>
      </c>
      <c r="D5" s="24" t="n">
        <f aca="false">C5*Basis!$B$6/1000</f>
        <v>160769.203791534</v>
      </c>
    </row>
    <row r="6" customFormat="false" ht="15" hidden="false" customHeight="false" outlineLevel="0" collapsed="false">
      <c r="A6" s="4" t="s">
        <v>199</v>
      </c>
      <c r="B6" s="26" t="n">
        <v>259.2047</v>
      </c>
      <c r="C6" s="24" t="n">
        <f aca="false">B6*Basis!$B$5</f>
        <v>17803.60442185</v>
      </c>
      <c r="D6" s="24" t="n">
        <f aca="false">C6*Basis!$B$6/1000</f>
        <v>155959.574735406</v>
      </c>
    </row>
    <row r="7" customFormat="false" ht="15" hidden="false" customHeight="false" outlineLevel="0" collapsed="false">
      <c r="A7" s="4" t="s">
        <v>200</v>
      </c>
      <c r="B7" s="26" t="n">
        <v>67.788</v>
      </c>
      <c r="C7" s="24" t="n">
        <f aca="false">B7*Basis!$B$5</f>
        <v>4656.052674</v>
      </c>
      <c r="D7" s="24" t="n">
        <f aca="false">C7*Basis!$B$6/1000</f>
        <v>40787.02142424</v>
      </c>
    </row>
    <row r="8" customFormat="false" ht="15" hidden="false" customHeight="false" outlineLevel="0" collapsed="false">
      <c r="A8" s="4" t="s">
        <v>201</v>
      </c>
      <c r="B8" s="26" t="n">
        <v>59.7944</v>
      </c>
      <c r="C8" s="24" t="n">
        <f aca="false">B8*Basis!$B$5</f>
        <v>4107.0082612</v>
      </c>
      <c r="D8" s="24" t="n">
        <f aca="false">C8*Basis!$B$6/1000</f>
        <v>35977.392368112</v>
      </c>
    </row>
    <row r="9" customFormat="false" ht="15" hidden="false" customHeight="false" outlineLevel="0" collapsed="false">
      <c r="A9" s="4" t="s">
        <v>202</v>
      </c>
      <c r="B9" s="26" t="n">
        <v>51.5547</v>
      </c>
      <c r="C9" s="24" t="n">
        <f aca="false">B9*Basis!$B$5</f>
        <v>3541.06034685</v>
      </c>
      <c r="D9" s="24" t="n">
        <f aca="false">C9*Basis!$B$6/1000</f>
        <v>31019.688638406</v>
      </c>
    </row>
    <row r="10" customFormat="false" ht="15" hidden="false" customHeight="false" outlineLevel="0" collapsed="false">
      <c r="A10" s="4" t="s">
        <v>203</v>
      </c>
      <c r="B10" s="26" t="n">
        <v>199.4103</v>
      </c>
      <c r="C10" s="24" t="n">
        <f aca="false">B10*Basis!$B$5</f>
        <v>13696.59616065</v>
      </c>
      <c r="D10" s="24" t="n">
        <f aca="false">C10*Basis!$B$6/1000</f>
        <v>119982.182367294</v>
      </c>
    </row>
    <row r="11" customFormat="false" ht="15" hidden="false" customHeight="false" outlineLevel="0" collapsed="false">
      <c r="A11" s="4" t="s">
        <v>204</v>
      </c>
      <c r="B11" s="15" t="n">
        <v>20</v>
      </c>
      <c r="C11" s="15"/>
      <c r="D11" s="15"/>
    </row>
    <row r="12" customFormat="false" ht="15" hidden="false" customHeight="false" outlineLevel="0" collapsed="false">
      <c r="A12" s="4" t="s">
        <v>205</v>
      </c>
      <c r="B12" s="27" t="n">
        <f aca="false">rs_electricity!C17</f>
        <v>59.3831272528174</v>
      </c>
      <c r="C12" s="24" t="n">
        <f aca="false">B12*Basis!$B$5</f>
        <v>4078.75978692339</v>
      </c>
      <c r="D12" s="24" t="n">
        <f aca="false">C12*Basis!$B$6/1000</f>
        <v>35729.9357334489</v>
      </c>
    </row>
    <row r="14" customFormat="false" ht="15" hidden="false" customHeight="false" outlineLevel="0" collapsed="false">
      <c r="A14" s="21" t="s">
        <v>206</v>
      </c>
    </row>
    <row r="15" customFormat="false" ht="15" hidden="false" customHeight="false" outlineLevel="0" collapsed="false">
      <c r="A15" s="4" t="s">
        <v>207</v>
      </c>
      <c r="B15" s="26" t="n">
        <f aca="false">ROUND(B5-qt!G22,1)</f>
        <v>0</v>
      </c>
    </row>
    <row r="16" customFormat="false" ht="15" hidden="false" customHeight="false" outlineLevel="0" collapsed="false">
      <c r="A16" s="4" t="s">
        <v>208</v>
      </c>
      <c r="B16" s="26" t="n">
        <f aca="false">ROUND(B6-qt!G35,1)</f>
        <v>0</v>
      </c>
    </row>
    <row r="17" customFormat="false" ht="15" hidden="false" customHeight="false" outlineLevel="0" collapsed="false">
      <c r="A17" s="4" t="s">
        <v>209</v>
      </c>
      <c r="B17" s="26" t="n">
        <f aca="false">ROUND((B7-B8)-(B5-B6),1)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2026-10-12T19:02:19Z</dcterms:created>
  <dc:creator>openpyxl</dc:creator>
  <dc:description/>
  <dc:language>en-US</dc:language>
  <cp:lastModifiedBy/>
  <dcterms:modified xsi:type="dcterms:W3CDTF">2026-10-12T19:02:19Z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