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<sst xmlns="http://schemas.openxmlformats.org/spreadsheetml/2006/main" count="268" uniqueCount="213">
  <si>
    <t xml:space="preserve">Dairy plant V1: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</si>
  <si>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</si>
  <si>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</si>
  <si>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</si>
  <si>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</si>
  <si>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</si>
  <si>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</si>
  <si>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</si>
  <si>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DWSIM dairy model of Bhatnagar, Flórez-Orrego, Boztas and Dardor; Dardor et al. (2024)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</si>
  <si>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</si>
  <si>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</si>
  <si>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</si>
  <si>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</si>
  <si>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</si>
  <si>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DWSIM dairy model of Bhatnagar, Flórez-Orrego, Boztas and Dardor; Dardor et al. (2024); latest MER runs.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</si>
  <si>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</si>
  <si>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</si>
  <si>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</si>
  <si>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</si>
  <si>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V1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</si>
  <si>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</si>
  <si>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</si>
  <si>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</si>
  <si>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</si>
  <si>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</si>
  <si>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</si>
  <si>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</si>
  <si>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</si>
  <si>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</si>
  <si>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</si>
  <si>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</si>
  <si>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</si>
  <si>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</si>
  <si>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</si>
  <si>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</si>
  <si>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</si>
  <si>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</si>
  <si>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</si>
  <si>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</si>
  <si>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</si>
  <si>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</si>
  <si>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Mesost</t>
  </si>
  <si>
    <t xml:space="preserve">8</t>
  </si>
  <si>
    <t xml:space="preserve">Water vapour from mesost boiling (to CIP)</t>
  </si>
  <si>
    <t xml:space="preserve">100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</si>
  <si>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</si>
  <si>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</si>
  <si>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</si>
  <si>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</si>
  <si>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</si>
  <si>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</si>
  <si>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</si>
  <si>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</si>
  <si>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</si>
  <si>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</si>
  <si>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</si>
  <si>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</si>
  <si>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</si>
  <si>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</si>
  <si>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Cream to mesost</t>
  </si>
  <si>
    <t xml:space="preserve">Whey to mesost (diluted + concentrated)</t>
  </si>
  <si>
    <t xml:space="preserve">4 and 56</t>
  </si>
  <si>
    <t xml:space="preserve">Closure check: total in minus total out (kg/h, plant)</t>
  </si>
  <si>
    <t xml:space="preserve">qt: thermal streams of variant V1,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</si>
  <si>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</si>
  <si>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</si>
  <si>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</si>
  <si>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</si>
  <si>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</si>
  <si>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</si>
  <si>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</si>
  <si>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</si>
  <si>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</si>
  <si>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</si>
  <si>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</si>
  <si>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</si>
  <si>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</si>
  <si>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</si>
  <si>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</si>
  <si>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</si>
  <si>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</si>
  <si>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</si>
  <si>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</si>
  <si>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</si>
  <si>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</si>
  <si>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</si>
  <si>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</si>
  <si>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</si>
  <si>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</si>
  <si>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</si>
  <si>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</si>
  <si>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</si>
  <si>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</si>
  <si>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</si>
  <si>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</si>
  <si>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</si>
  <si>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</si>
  <si>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</si>
  <si>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</si>
  <si>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</si>
  <si>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</si>
  <si>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</si>
  <si>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</si>
  <si>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</si>
  <si>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C10</t>
  </si>
  <si>
    <t xml:space="preserve">Mesost: Diluted whey warming (mixing)</t>
  </si>
  <si>
    <t xml:space="preserve">MIX1_Whey_di</t>
  </si>
  <si>
    <t xml:space="preserve">C11</t>
  </si>
  <si>
    <t xml:space="preserve">Mesost: Whey heating to boiling</t>
  </si>
  <si>
    <t xml:space="preserve">HHX1_boiler_liquid</t>
  </si>
  <si>
    <t xml:space="preserve">C12</t>
  </si>
  <si>
    <t xml:space="preserve">Mesost: Whey boiling, water evaporation</t>
  </si>
  <si>
    <t xml:space="preserve">HHX1_boiler_mixphase</t>
  </si>
  <si>
    <t xml:space="preserve">C13</t>
  </si>
  <si>
    <t xml:space="preserve">Mesost: Cream heating</t>
  </si>
  <si>
    <t xml:space="preserve">MIX2_Cream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</si>
  <si>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</si>
  <si>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</si>
  <si>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</si>
  <si>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</si>
  <si>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</si>
  <si>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</si>
  <si>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</si>
  <si>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</si>
  <si>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</si>
  <si>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</si>
  <si>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</si>
  <si>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</si>
  <si>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</si>
  <si>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</si>
  <si>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</si>
  <si>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</si>
  <si>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</si>
  <si>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</si>
  <si>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</si>
  <si>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</si>
  <si>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</si>
  <si>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</si>
  <si>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</si>
  <si>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</si>
  <si>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</si>
  <si>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</si>
  <si>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</si>
  <si>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</si>
  <si>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</si>
  <si>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</si>
  <si>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</si>
  <si>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</si>
  <si>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</si>
  <si>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</si>
  <si>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</si>
  <si>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</si>
  <si>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</si>
  <si>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</si>
  <si>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</si>
  <si>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H13</t>
  </si>
  <si>
    <t xml:space="preserve">Mesost: Concentrated whey cooling (mixing)</t>
  </si>
  <si>
    <t xml:space="preserve">MIX1_Whey_con</t>
  </si>
  <si>
    <t xml:space="preserve">H14</t>
  </si>
  <si>
    <t xml:space="preserve">Mesost: Vapour, partial condensation</t>
  </si>
  <si>
    <t xml:space="preserve">CL1_cw_mixphase</t>
  </si>
  <si>
    <t xml:space="preserve">H15</t>
  </si>
  <si>
    <t xml:space="preserve">Mesost: Mesost cooling</t>
  </si>
  <si>
    <t xml:space="preserve">CL1_cw_liquid + HX2_cooling</t>
  </si>
  <si>
    <t xml:space="preserve">Total hot streams</t>
  </si>
  <si>
    <t xml:space="preserve">rs: process electricity of the cheese line, variant V1,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</si>
  <si>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</si>
  <si>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</si>
  <si>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</si>
  <si>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</si>
  <si>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</si>
  <si>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</si>
  <si>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</si>
  <si>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</si>
  <si>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</si>
  <si>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</si>
  <si>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</si>
  <si>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</si>
  <si>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</si>
  <si>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</si>
  <si>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</si>
  <si>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</si>
  <si>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</si>
  <si>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</si>
  <si>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</si>
  <si>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</si>
  <si>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</si>
  <si>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</si>
  <si>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</si>
  <si>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</si>
  <si>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</si>
  <si>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</si>
  <si>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</si>
  <si>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</si>
  <si>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</si>
  <si>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The electricity of the mesost unit is not covered by the reference and is not included.</t>
  </si>
  <si>
    <t xml:space="preserve">Reference targets for the 28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</si>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</sst>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1491.1594</v>
      </c>
      <c r="D11" s="10" t="n">
        <f aca="false">C11/Basis!$B$5*Basis!$B$7</f>
        <v>51.7763680555556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7422.9831</v>
      </c>
      <c r="D13" s="10" t="n">
        <f aca="false">C13/Basis!$B$5*Basis!$B$7</f>
        <v>257.74246875</v>
      </c>
      <c r="E13" s="4" t="s">
        <v>42</v>
      </c>
    </row>
    <row r="14" customFormat="false" ht="15" hidden="false" customHeight="false" outlineLevel="0" collapsed="false">
      <c r="A14" s="4" t="s">
        <v>43</v>
      </c>
      <c r="B14" s="4" t="s">
        <v>37</v>
      </c>
      <c r="C14" s="9" t="n">
        <v>1400.4876</v>
      </c>
      <c r="D14" s="10" t="n">
        <f aca="false">C14/Basis!$B$5*Basis!$B$7</f>
        <v>48.6280416666667</v>
      </c>
      <c r="E14" s="4" t="s">
        <v>44</v>
      </c>
    </row>
    <row r="15" customFormat="false" ht="15" hidden="false" customHeight="false" outlineLevel="0" collapsed="false">
      <c r="A15" s="4" t="s">
        <v>45</v>
      </c>
      <c r="B15" s="4" t="s">
        <v>37</v>
      </c>
      <c r="C15" s="9" t="n">
        <v>12915.94</v>
      </c>
      <c r="D15" s="10" t="n">
        <f aca="false">C15/Basis!$B$5*Basis!$B$7</f>
        <v>448.470138888889</v>
      </c>
      <c r="E15" s="4" t="s">
        <v>46</v>
      </c>
    </row>
    <row r="16" customFormat="false" ht="15" hidden="false" customHeight="false" outlineLevel="0" collapsed="false">
      <c r="A16" s="4" t="s">
        <v>47</v>
      </c>
      <c r="B16" s="4" t="s">
        <v>37</v>
      </c>
      <c r="C16" s="9" t="n">
        <v>4482.83</v>
      </c>
      <c r="D16" s="10" t="n">
        <f aca="false">C16/Basis!$B$5*Basis!$B$7</f>
        <v>155.653819444444</v>
      </c>
      <c r="E16" s="4" t="s">
        <v>48</v>
      </c>
    </row>
    <row r="17" customFormat="false" ht="15" hidden="false" customHeight="false" outlineLevel="0" collapsed="false">
      <c r="A17" s="4" t="s">
        <v>49</v>
      </c>
      <c r="B17" s="4" t="s">
        <v>37</v>
      </c>
      <c r="C17" s="9" t="n">
        <v>4320</v>
      </c>
      <c r="D17" s="10" t="n">
        <f aca="false">C17/Basis!$B$5*Basis!$B$7</f>
        <v>150</v>
      </c>
      <c r="E17" s="4" t="s">
        <v>50</v>
      </c>
    </row>
    <row r="18" customFormat="false" ht="15" hidden="false" customHeight="false" outlineLevel="0" collapsed="false">
      <c r="A18" s="4" t="s">
        <v>51</v>
      </c>
      <c r="B18" s="4" t="s">
        <v>37</v>
      </c>
      <c r="C18" s="9" t="n">
        <v>137</v>
      </c>
      <c r="D18" s="10" t="n">
        <f aca="false">C18/Basis!$B$5*Basis!$B$7</f>
        <v>4.75694444444445</v>
      </c>
      <c r="E18" s="4" t="s">
        <v>48</v>
      </c>
    </row>
    <row r="19" customFormat="false" ht="15" hidden="false" customHeight="false" outlineLevel="0" collapsed="false">
      <c r="A19" s="11" t="s">
        <v>52</v>
      </c>
      <c r="B19" s="12"/>
      <c r="C19" s="13" t="n">
        <f aca="false">SUM(C11:C18)</f>
        <v>34195.3001</v>
      </c>
      <c r="D19" s="13" t="n">
        <f aca="false">SUM(D11:D18)</f>
        <v>1187.33680902778</v>
      </c>
      <c r="E19" s="12"/>
    </row>
    <row r="20" customFormat="false" ht="15" hidden="false" customHeight="false" outlineLevel="0" collapsed="false">
      <c r="A20" s="7" t="s">
        <v>53</v>
      </c>
      <c r="B20" s="8"/>
      <c r="C20" s="8"/>
      <c r="D20" s="8"/>
      <c r="E20" s="8"/>
    </row>
    <row r="21" customFormat="false" ht="15" hidden="false" customHeight="false" outlineLevel="0" collapsed="false">
      <c r="A21" s="4" t="s">
        <v>54</v>
      </c>
      <c r="B21" s="4"/>
      <c r="C21" s="9" t="n">
        <v>27085.8</v>
      </c>
      <c r="D21" s="10" t="n">
        <f aca="false">C21/Basis!$B$5*Basis!$B$7</f>
        <v>940.479166666667</v>
      </c>
      <c r="E21" s="4" t="s">
        <v>38</v>
      </c>
    </row>
    <row r="22" customFormat="false" ht="15" hidden="false" customHeight="false" outlineLevel="0" collapsed="false">
      <c r="A22" s="4" t="s">
        <v>55</v>
      </c>
      <c r="B22" s="4"/>
      <c r="C22" s="9" t="n">
        <v>5083.2</v>
      </c>
      <c r="D22" s="10" t="n">
        <f aca="false">C22/Basis!$B$5*Basis!$B$7</f>
        <v>176.5</v>
      </c>
      <c r="E22" s="4" t="s">
        <v>38</v>
      </c>
    </row>
    <row r="23" customFormat="false" ht="15" hidden="false" customHeight="false" outlineLevel="0" collapsed="false">
      <c r="A23" s="4" t="s">
        <v>56</v>
      </c>
      <c r="B23" s="4"/>
      <c r="C23" s="9" t="n">
        <v>104.01</v>
      </c>
      <c r="D23" s="10" t="n">
        <f aca="false">C23/Basis!$B$5*Basis!$B$7</f>
        <v>3.61145833333333</v>
      </c>
      <c r="E23" s="4" t="s">
        <v>38</v>
      </c>
    </row>
    <row r="24" customFormat="false" ht="15" hidden="false" customHeight="false" outlineLevel="0" collapsed="false">
      <c r="A24" s="4" t="s">
        <v>57</v>
      </c>
      <c r="B24" s="4"/>
      <c r="C24" s="9" t="n">
        <v>983.8</v>
      </c>
      <c r="D24" s="10" t="n">
        <f aca="false">C24/Basis!$B$5*Basis!$B$7</f>
        <v>34.1597222222222</v>
      </c>
      <c r="E24" s="4" t="s">
        <v>40</v>
      </c>
    </row>
    <row r="25" customFormat="false" ht="15" hidden="false" customHeight="false" outlineLevel="0" collapsed="false">
      <c r="A25" s="4" t="s">
        <v>58</v>
      </c>
      <c r="B25" s="4"/>
      <c r="C25" s="9" t="n">
        <v>3532.02</v>
      </c>
      <c r="D25" s="10" t="n">
        <f aca="false">C25/Basis!$B$5*Basis!$B$7</f>
        <v>122.639583333333</v>
      </c>
      <c r="E25" s="4" t="s">
        <v>38</v>
      </c>
    </row>
    <row r="26" customFormat="false" ht="15" hidden="false" customHeight="false" outlineLevel="0" collapsed="false">
      <c r="A26" s="4" t="s">
        <v>59</v>
      </c>
      <c r="B26" s="4"/>
      <c r="C26" s="9" t="n">
        <v>223.0406</v>
      </c>
      <c r="D26" s="10" t="n">
        <f aca="false">C26/Basis!$B$5*Basis!$B$7</f>
        <v>7.74446527777778</v>
      </c>
      <c r="E26" s="4" t="s">
        <v>42</v>
      </c>
    </row>
    <row r="27" customFormat="false" ht="15" hidden="false" customHeight="false" outlineLevel="0" collapsed="false">
      <c r="A27" s="4" t="s">
        <v>60</v>
      </c>
      <c r="B27" s="4"/>
      <c r="C27" s="9" t="n">
        <v>8600.43</v>
      </c>
      <c r="D27" s="10" t="n">
        <f aca="false">C27/Basis!$B$5*Basis!$B$7</f>
        <v>298.626041666667</v>
      </c>
      <c r="E27" s="4" t="s">
        <v>61</v>
      </c>
    </row>
    <row r="29" customFormat="false" ht="15" hidden="false" customHeight="false" outlineLevel="0" collapsed="false">
      <c r="A29" s="14" t="s">
        <v>62</v>
      </c>
      <c r="C29" s="15" t="n">
        <f aca="false">C9-C19</f>
        <v>-9.99999974737875E-005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23.85" hidden="false" customHeight="false" outlineLevel="0" collapsed="false">
      <c r="A4" s="3" t="s">
        <v>65</v>
      </c>
      <c r="B4" s="3" t="s">
        <v>20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  <c r="I4" s="3" t="s">
        <v>72</v>
      </c>
      <c r="J4" s="3" t="s">
        <v>73</v>
      </c>
      <c r="K4" s="3" t="s">
        <v>74</v>
      </c>
    </row>
    <row r="5" customFormat="false" ht="15" hidden="false" customHeight="false" outlineLevel="0" collapsed="false">
      <c r="A5" s="7" t="s">
        <v>75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76</v>
      </c>
      <c r="B6" s="4" t="s">
        <v>77</v>
      </c>
      <c r="C6" s="4" t="s">
        <v>78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79</v>
      </c>
    </row>
    <row r="7" customFormat="false" ht="15" hidden="false" customHeight="false" outlineLevel="0" collapsed="false">
      <c r="A7" s="4" t="s">
        <v>80</v>
      </c>
      <c r="B7" s="4" t="s">
        <v>81</v>
      </c>
      <c r="C7" s="4" t="s">
        <v>78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82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78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85</v>
      </c>
    </row>
    <row r="9" customFormat="false" ht="15" hidden="false" customHeight="false" outlineLevel="0" collapsed="false">
      <c r="A9" s="4" t="s">
        <v>86</v>
      </c>
      <c r="B9" s="4" t="s">
        <v>87</v>
      </c>
      <c r="C9" s="4" t="s">
        <v>78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88</v>
      </c>
    </row>
    <row r="10" customFormat="false" ht="15" hidden="false" customHeight="false" outlineLevel="0" collapsed="false">
      <c r="A10" s="4" t="s">
        <v>89</v>
      </c>
      <c r="B10" s="4" t="s">
        <v>90</v>
      </c>
      <c r="C10" s="4" t="s">
        <v>78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91</v>
      </c>
    </row>
    <row r="11" customFormat="false" ht="15" hidden="false" customHeight="false" outlineLevel="0" collapsed="false">
      <c r="A11" s="4" t="s">
        <v>92</v>
      </c>
      <c r="B11" s="4" t="s">
        <v>93</v>
      </c>
      <c r="C11" s="4" t="s">
        <v>78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94</v>
      </c>
    </row>
    <row r="12" customFormat="false" ht="15" hidden="false" customHeight="false" outlineLevel="0" collapsed="false">
      <c r="A12" s="4" t="s">
        <v>95</v>
      </c>
      <c r="B12" s="4" t="s">
        <v>96</v>
      </c>
      <c r="C12" s="4" t="s">
        <v>78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97</v>
      </c>
    </row>
    <row r="13" customFormat="false" ht="15" hidden="false" customHeight="false" outlineLevel="0" collapsed="false">
      <c r="A13" s="4" t="s">
        <v>98</v>
      </c>
      <c r="B13" s="4" t="s">
        <v>99</v>
      </c>
      <c r="C13" s="4" t="s">
        <v>78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100</v>
      </c>
    </row>
    <row r="14" customFormat="false" ht="15" hidden="false" customHeight="false" outlineLevel="0" collapsed="false">
      <c r="A14" s="4" t="s">
        <v>101</v>
      </c>
      <c r="B14" s="4" t="s">
        <v>102</v>
      </c>
      <c r="C14" s="4" t="s">
        <v>78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103</v>
      </c>
    </row>
    <row r="15" customFormat="false" ht="15" hidden="false" customHeight="false" outlineLevel="0" collapsed="false">
      <c r="A15" s="4" t="s">
        <v>104</v>
      </c>
      <c r="B15" s="4" t="s">
        <v>105</v>
      </c>
      <c r="C15" s="4" t="s">
        <v>78</v>
      </c>
      <c r="D15" s="16" t="n">
        <v>4</v>
      </c>
      <c r="E15" s="16" t="n">
        <v>21.2</v>
      </c>
      <c r="F15" s="9" t="n">
        <v>104.6376</v>
      </c>
      <c r="G15" s="17" t="n">
        <f aca="false">F15/Basis!$B$5*Basis!$B$7</f>
        <v>3.63325</v>
      </c>
      <c r="H15" s="18" t="n">
        <f aca="false">G15/ABS(E15-D15)</f>
        <v>0.211235465116279</v>
      </c>
      <c r="I15" s="16" t="n">
        <v>5</v>
      </c>
      <c r="J15" s="19" t="n">
        <f aca="false">Basis!$B$6</f>
        <v>8760</v>
      </c>
      <c r="K15" s="4" t="s">
        <v>106</v>
      </c>
    </row>
    <row r="16" customFormat="false" ht="15" hidden="false" customHeight="false" outlineLevel="0" collapsed="false">
      <c r="A16" s="4" t="s">
        <v>107</v>
      </c>
      <c r="B16" s="4" t="s">
        <v>108</v>
      </c>
      <c r="C16" s="4" t="s">
        <v>78</v>
      </c>
      <c r="D16" s="16" t="n">
        <v>21.2</v>
      </c>
      <c r="E16" s="16" t="n">
        <v>100.6</v>
      </c>
      <c r="F16" s="9" t="n">
        <v>718.6975</v>
      </c>
      <c r="G16" s="17" t="n">
        <f aca="false">F16/Basis!$B$5*Basis!$B$7</f>
        <v>24.9547743055556</v>
      </c>
      <c r="H16" s="18" t="n">
        <f aca="false">G16/ABS(E16-D16)</f>
        <v>0.314291867828156</v>
      </c>
      <c r="I16" s="16" t="n">
        <v>5</v>
      </c>
      <c r="J16" s="19" t="n">
        <f aca="false">Basis!$B$6</f>
        <v>8760</v>
      </c>
      <c r="K16" s="4" t="s">
        <v>109</v>
      </c>
    </row>
    <row r="17" customFormat="false" ht="15" hidden="false" customHeight="false" outlineLevel="0" collapsed="false">
      <c r="A17" s="4" t="s">
        <v>110</v>
      </c>
      <c r="B17" s="4" t="s">
        <v>111</v>
      </c>
      <c r="C17" s="4" t="s">
        <v>78</v>
      </c>
      <c r="D17" s="16" t="n">
        <v>100.6</v>
      </c>
      <c r="E17" s="16" t="n">
        <v>100.7</v>
      </c>
      <c r="F17" s="9" t="n">
        <v>924.6809</v>
      </c>
      <c r="G17" s="17" t="n">
        <f aca="false">F17/Basis!$B$5*Basis!$B$7</f>
        <v>32.1069756944444</v>
      </c>
      <c r="H17" s="18" t="n">
        <f aca="false">G17/ABS(E17-D17)</f>
        <v>321.069756944417</v>
      </c>
      <c r="I17" s="16" t="n">
        <v>2</v>
      </c>
      <c r="J17" s="19" t="n">
        <f aca="false">Basis!$B$6</f>
        <v>8760</v>
      </c>
      <c r="K17" s="4" t="s">
        <v>112</v>
      </c>
    </row>
    <row r="18" customFormat="false" ht="15" hidden="false" customHeight="false" outlineLevel="0" collapsed="false">
      <c r="A18" s="4" t="s">
        <v>113</v>
      </c>
      <c r="B18" s="4" t="s">
        <v>114</v>
      </c>
      <c r="C18" s="4" t="s">
        <v>78</v>
      </c>
      <c r="D18" s="16" t="n">
        <v>8</v>
      </c>
      <c r="E18" s="16" t="n">
        <v>100.6</v>
      </c>
      <c r="F18" s="9" t="n">
        <v>20.349</v>
      </c>
      <c r="G18" s="17" t="n">
        <f aca="false">F18/Basis!$B$5*Basis!$B$7</f>
        <v>0.7065625</v>
      </c>
      <c r="H18" s="18" t="n">
        <f aca="false">G18/ABS(E18-D18)</f>
        <v>0.00763026457883369</v>
      </c>
      <c r="I18" s="16" t="n">
        <v>5</v>
      </c>
      <c r="J18" s="19" t="n">
        <f aca="false">Basis!$B$6</f>
        <v>8760</v>
      </c>
      <c r="K18" s="4" t="s">
        <v>115</v>
      </c>
    </row>
    <row r="19" customFormat="false" ht="15" hidden="false" customHeight="false" outlineLevel="0" collapsed="false">
      <c r="A19" s="12"/>
      <c r="B19" s="11" t="s">
        <v>116</v>
      </c>
      <c r="C19" s="12"/>
      <c r="D19" s="12"/>
      <c r="E19" s="12"/>
      <c r="F19" s="20" t="n">
        <f aca="false">SUM(F6:F18)</f>
        <v>14333.665</v>
      </c>
      <c r="G19" s="21" t="n">
        <f aca="false">SUM(G6:G18)</f>
        <v>497.696701388889</v>
      </c>
      <c r="H19" s="12"/>
      <c r="I19" s="12"/>
      <c r="J19" s="12"/>
      <c r="K19" s="12"/>
    </row>
    <row r="20" customFormat="false" ht="15" hidden="false" customHeight="false" outlineLevel="0" collapsed="false">
      <c r="A20" s="7" t="s">
        <v>117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4" t="s">
        <v>118</v>
      </c>
      <c r="B21" s="4" t="s">
        <v>119</v>
      </c>
      <c r="C21" s="4" t="s">
        <v>120</v>
      </c>
      <c r="D21" s="16" t="n">
        <v>6</v>
      </c>
      <c r="E21" s="16" t="n">
        <v>4</v>
      </c>
      <c r="F21" s="9" t="n">
        <v>62.9</v>
      </c>
      <c r="G21" s="17" t="n">
        <f aca="false">F21/Basis!$B$5*Basis!$B$7</f>
        <v>2.18402777777778</v>
      </c>
      <c r="H21" s="18" t="n">
        <f aca="false">G21/ABS(E21-D21)</f>
        <v>1.09201388888889</v>
      </c>
      <c r="I21" s="16" t="n">
        <v>5</v>
      </c>
      <c r="J21" s="19" t="n">
        <f aca="false">Basis!$B$6</f>
        <v>8760</v>
      </c>
      <c r="K21" s="4" t="s">
        <v>121</v>
      </c>
    </row>
    <row r="22" customFormat="false" ht="15" hidden="false" customHeight="false" outlineLevel="0" collapsed="false">
      <c r="A22" s="4" t="s">
        <v>122</v>
      </c>
      <c r="B22" s="4" t="s">
        <v>123</v>
      </c>
      <c r="C22" s="4" t="s">
        <v>120</v>
      </c>
      <c r="D22" s="16" t="n">
        <v>75</v>
      </c>
      <c r="E22" s="16" t="n">
        <v>4</v>
      </c>
      <c r="F22" s="9" t="n">
        <v>2106.1</v>
      </c>
      <c r="G22" s="17" t="n">
        <f aca="false">F22/Basis!$B$5*Basis!$B$7</f>
        <v>73.1284722222222</v>
      </c>
      <c r="H22" s="18" t="n">
        <f aca="false">G22/ABS(E22-D22)</f>
        <v>1.02997848200313</v>
      </c>
      <c r="I22" s="16" t="n">
        <v>5</v>
      </c>
      <c r="J22" s="19" t="n">
        <f aca="false">Basis!$B$6</f>
        <v>8760</v>
      </c>
      <c r="K22" s="4" t="s">
        <v>124</v>
      </c>
    </row>
    <row r="23" customFormat="false" ht="15" hidden="false" customHeight="false" outlineLevel="0" collapsed="false">
      <c r="A23" s="4" t="s">
        <v>125</v>
      </c>
      <c r="B23" s="4" t="s">
        <v>126</v>
      </c>
      <c r="C23" s="4" t="s">
        <v>120</v>
      </c>
      <c r="D23" s="16" t="n">
        <v>70.2</v>
      </c>
      <c r="E23" s="16" t="n">
        <v>69.1</v>
      </c>
      <c r="F23" s="9" t="n">
        <v>3517.8</v>
      </c>
      <c r="G23" s="17" t="n">
        <f aca="false">F23/Basis!$B$5*Basis!$B$7</f>
        <v>122.145833333333</v>
      </c>
      <c r="H23" s="18" t="n">
        <f aca="false">G23/ABS(E23-D23)</f>
        <v>111.041666666666</v>
      </c>
      <c r="I23" s="16" t="n">
        <v>2</v>
      </c>
      <c r="J23" s="19" t="n">
        <f aca="false">Basis!$B$6</f>
        <v>8760</v>
      </c>
      <c r="K23" s="4" t="s">
        <v>127</v>
      </c>
    </row>
    <row r="24" customFormat="false" ht="15" hidden="false" customHeight="false" outlineLevel="0" collapsed="false">
      <c r="A24" s="4" t="s">
        <v>128</v>
      </c>
      <c r="B24" s="4" t="s">
        <v>129</v>
      </c>
      <c r="C24" s="4" t="s">
        <v>120</v>
      </c>
      <c r="D24" s="16" t="n">
        <v>65.6</v>
      </c>
      <c r="E24" s="16" t="n">
        <v>65</v>
      </c>
      <c r="F24" s="9" t="n">
        <v>3011.9</v>
      </c>
      <c r="G24" s="17" t="n">
        <f aca="false">F24/Basis!$B$5*Basis!$B$7</f>
        <v>104.579861111111</v>
      </c>
      <c r="H24" s="18" t="n">
        <f aca="false">G24/ABS(E24-D24)</f>
        <v>174.29976851852</v>
      </c>
      <c r="I24" s="16" t="n">
        <v>2</v>
      </c>
      <c r="J24" s="19" t="n">
        <f aca="false">Basis!$B$6</f>
        <v>8760</v>
      </c>
      <c r="K24" s="4" t="s">
        <v>130</v>
      </c>
    </row>
    <row r="25" customFormat="false" ht="15" hidden="false" customHeight="false" outlineLevel="0" collapsed="false">
      <c r="A25" s="4" t="s">
        <v>131</v>
      </c>
      <c r="B25" s="4" t="s">
        <v>132</v>
      </c>
      <c r="C25" s="4" t="s">
        <v>120</v>
      </c>
      <c r="D25" s="16" t="n">
        <v>61.3</v>
      </c>
      <c r="E25" s="16" t="n">
        <v>60.1</v>
      </c>
      <c r="F25" s="9" t="n">
        <v>1889.5</v>
      </c>
      <c r="G25" s="17" t="n">
        <f aca="false">F25/Basis!$B$5*Basis!$B$7</f>
        <v>65.6076388888889</v>
      </c>
      <c r="H25" s="18" t="n">
        <f aca="false">G25/ABS(E25-D25)</f>
        <v>54.6730324074076</v>
      </c>
      <c r="I25" s="16" t="n">
        <v>2</v>
      </c>
      <c r="J25" s="19" t="n">
        <f aca="false">Basis!$B$6</f>
        <v>8760</v>
      </c>
      <c r="K25" s="4" t="s">
        <v>133</v>
      </c>
    </row>
    <row r="26" customFormat="false" ht="15" hidden="false" customHeight="false" outlineLevel="0" collapsed="false">
      <c r="A26" s="4" t="s">
        <v>134</v>
      </c>
      <c r="B26" s="4" t="s">
        <v>135</v>
      </c>
      <c r="C26" s="4" t="s">
        <v>120</v>
      </c>
      <c r="D26" s="16" t="n">
        <v>69.9</v>
      </c>
      <c r="E26" s="16" t="n">
        <v>25</v>
      </c>
      <c r="F26" s="9" t="n">
        <v>610.2</v>
      </c>
      <c r="G26" s="17" t="n">
        <f aca="false">F26/Basis!$B$5*Basis!$B$7</f>
        <v>21.1875</v>
      </c>
      <c r="H26" s="18" t="n">
        <f aca="false">G26/ABS(E26-D26)</f>
        <v>0.471881959910913</v>
      </c>
      <c r="I26" s="16" t="n">
        <v>5</v>
      </c>
      <c r="J26" s="19" t="n">
        <f aca="false">Basis!$B$6</f>
        <v>8760</v>
      </c>
      <c r="K26" s="4" t="s">
        <v>136</v>
      </c>
    </row>
    <row r="27" customFormat="false" ht="15" hidden="false" customHeight="false" outlineLevel="0" collapsed="false">
      <c r="A27" s="4" t="s">
        <v>137</v>
      </c>
      <c r="B27" s="4" t="s">
        <v>138</v>
      </c>
      <c r="C27" s="4" t="s">
        <v>120</v>
      </c>
      <c r="D27" s="16" t="n">
        <v>61.3</v>
      </c>
      <c r="E27" s="16" t="n">
        <v>4</v>
      </c>
      <c r="F27" s="9" t="n">
        <v>268.3</v>
      </c>
      <c r="G27" s="17" t="n">
        <f aca="false">F27/Basis!$B$5*Basis!$B$7</f>
        <v>9.31597222222222</v>
      </c>
      <c r="H27" s="18" t="n">
        <f aca="false">G27/ABS(E27-D27)</f>
        <v>0.162582412255187</v>
      </c>
      <c r="I27" s="16" t="n">
        <v>5</v>
      </c>
      <c r="J27" s="19" t="n">
        <f aca="false">Basis!$B$6</f>
        <v>8760</v>
      </c>
      <c r="K27" s="4" t="s">
        <v>139</v>
      </c>
    </row>
    <row r="28" customFormat="false" ht="15" hidden="false" customHeight="false" outlineLevel="0" collapsed="false">
      <c r="A28" s="4" t="s">
        <v>140</v>
      </c>
      <c r="B28" s="4" t="s">
        <v>141</v>
      </c>
      <c r="C28" s="4" t="s">
        <v>120</v>
      </c>
      <c r="D28" s="16" t="n">
        <v>56</v>
      </c>
      <c r="E28" s="16" t="n">
        <v>16</v>
      </c>
      <c r="F28" s="9" t="n">
        <v>63</v>
      </c>
      <c r="G28" s="17" t="n">
        <f aca="false">F28/Basis!$B$5*Basis!$B$7</f>
        <v>2.1875</v>
      </c>
      <c r="H28" s="18" t="n">
        <f aca="false">G28/ABS(E28-D28)</f>
        <v>0.0546875</v>
      </c>
      <c r="I28" s="16" t="n">
        <v>5</v>
      </c>
      <c r="J28" s="19" t="n">
        <f aca="false">Basis!$B$6</f>
        <v>8760</v>
      </c>
      <c r="K28" s="4" t="s">
        <v>142</v>
      </c>
    </row>
    <row r="29" customFormat="false" ht="15" hidden="false" customHeight="false" outlineLevel="0" collapsed="false">
      <c r="A29" s="4" t="s">
        <v>143</v>
      </c>
      <c r="B29" s="4" t="s">
        <v>144</v>
      </c>
      <c r="C29" s="4" t="s">
        <v>120</v>
      </c>
      <c r="D29" s="16" t="n">
        <v>25</v>
      </c>
      <c r="E29" s="16" t="n">
        <v>13</v>
      </c>
      <c r="F29" s="9" t="n">
        <v>9.4</v>
      </c>
      <c r="G29" s="17" t="n">
        <f aca="false">F29/Basis!$B$5*Basis!$B$7</f>
        <v>0.326388888888889</v>
      </c>
      <c r="H29" s="18" t="n">
        <f aca="false">G29/ABS(E29-D29)</f>
        <v>0.0271990740740741</v>
      </c>
      <c r="I29" s="16" t="n">
        <v>5</v>
      </c>
      <c r="J29" s="19" t="n">
        <f aca="false">Basis!$B$6</f>
        <v>8760</v>
      </c>
      <c r="K29" s="4" t="s">
        <v>145</v>
      </c>
    </row>
    <row r="30" customFormat="false" ht="15" hidden="false" customHeight="false" outlineLevel="0" collapsed="false">
      <c r="A30" s="4" t="s">
        <v>146</v>
      </c>
      <c r="B30" s="4" t="s">
        <v>147</v>
      </c>
      <c r="C30" s="4" t="s">
        <v>120</v>
      </c>
      <c r="D30" s="16" t="n">
        <v>80</v>
      </c>
      <c r="E30" s="16" t="n">
        <v>75</v>
      </c>
      <c r="F30" s="9" t="n">
        <v>83.8</v>
      </c>
      <c r="G30" s="17" t="n">
        <f aca="false">F30/Basis!$B$5*Basis!$B$7</f>
        <v>2.90972222222222</v>
      </c>
      <c r="H30" s="18" t="n">
        <f aca="false">G30/ABS(E30-D30)</f>
        <v>0.581944444444444</v>
      </c>
      <c r="I30" s="16" t="n">
        <v>5</v>
      </c>
      <c r="J30" s="19" t="n">
        <f aca="false">Basis!$B$6</f>
        <v>8760</v>
      </c>
      <c r="K30" s="4" t="s">
        <v>148</v>
      </c>
    </row>
    <row r="31" customFormat="false" ht="15" hidden="false" customHeight="false" outlineLevel="0" collapsed="false">
      <c r="A31" s="4" t="s">
        <v>149</v>
      </c>
      <c r="B31" s="4" t="s">
        <v>150</v>
      </c>
      <c r="C31" s="4" t="s">
        <v>120</v>
      </c>
      <c r="D31" s="16" t="n">
        <v>75</v>
      </c>
      <c r="E31" s="16" t="n">
        <v>60</v>
      </c>
      <c r="F31" s="9" t="n">
        <v>175.9</v>
      </c>
      <c r="G31" s="17" t="n">
        <f aca="false">F31/Basis!$B$5*Basis!$B$7</f>
        <v>6.10763888888889</v>
      </c>
      <c r="H31" s="18" t="n">
        <f aca="false">G31/ABS(E31-D31)</f>
        <v>0.407175925925926</v>
      </c>
      <c r="I31" s="16" t="n">
        <v>5</v>
      </c>
      <c r="J31" s="19" t="n">
        <f aca="false">Basis!$B$6</f>
        <v>8760</v>
      </c>
      <c r="K31" s="4" t="s">
        <v>151</v>
      </c>
    </row>
    <row r="32" customFormat="false" ht="15" hidden="false" customHeight="false" outlineLevel="0" collapsed="false">
      <c r="A32" s="4" t="s">
        <v>152</v>
      </c>
      <c r="B32" s="4" t="s">
        <v>153</v>
      </c>
      <c r="C32" s="4" t="s">
        <v>120</v>
      </c>
      <c r="D32" s="16" t="n">
        <v>75</v>
      </c>
      <c r="E32" s="16" t="n">
        <v>30</v>
      </c>
      <c r="F32" s="9" t="n">
        <v>225.9</v>
      </c>
      <c r="G32" s="17" t="n">
        <f aca="false">F32/Basis!$B$5*Basis!$B$7</f>
        <v>7.84375</v>
      </c>
      <c r="H32" s="18" t="n">
        <f aca="false">G32/ABS(E32-D32)</f>
        <v>0.174305555555556</v>
      </c>
      <c r="I32" s="16" t="n">
        <v>5</v>
      </c>
      <c r="J32" s="19" t="n">
        <f aca="false">Basis!$B$6</f>
        <v>8760</v>
      </c>
      <c r="K32" s="4" t="s">
        <v>154</v>
      </c>
    </row>
    <row r="33" customFormat="false" ht="15" hidden="false" customHeight="false" outlineLevel="0" collapsed="false">
      <c r="A33" s="4" t="s">
        <v>155</v>
      </c>
      <c r="B33" s="4" t="s">
        <v>156</v>
      </c>
      <c r="C33" s="4" t="s">
        <v>120</v>
      </c>
      <c r="D33" s="16" t="n">
        <v>56</v>
      </c>
      <c r="E33" s="16" t="n">
        <v>21.2</v>
      </c>
      <c r="F33" s="9" t="n">
        <v>104.2386</v>
      </c>
      <c r="G33" s="17" t="n">
        <f aca="false">F33/Basis!$B$5*Basis!$B$7</f>
        <v>3.61939583333333</v>
      </c>
      <c r="H33" s="18" t="n">
        <f aca="false">G33/ABS(E33-D33)</f>
        <v>0.104005627394636</v>
      </c>
      <c r="I33" s="16" t="n">
        <v>5</v>
      </c>
      <c r="J33" s="19" t="n">
        <f aca="false">Basis!$B$6</f>
        <v>8760</v>
      </c>
      <c r="K33" s="4" t="s">
        <v>157</v>
      </c>
    </row>
    <row r="34" customFormat="false" ht="15" hidden="false" customHeight="false" outlineLevel="0" collapsed="false">
      <c r="A34" s="4" t="s">
        <v>158</v>
      </c>
      <c r="B34" s="4" t="s">
        <v>159</v>
      </c>
      <c r="C34" s="4" t="s">
        <v>120</v>
      </c>
      <c r="D34" s="16" t="n">
        <v>100.6</v>
      </c>
      <c r="E34" s="16" t="n">
        <v>100.5</v>
      </c>
      <c r="F34" s="9" t="n">
        <v>26.1345</v>
      </c>
      <c r="G34" s="17" t="n">
        <f aca="false">F34/Basis!$B$5*Basis!$B$7</f>
        <v>0.907447916666667</v>
      </c>
      <c r="H34" s="18" t="n">
        <f aca="false">G34/ABS(E34-D34)</f>
        <v>9.07447916666718</v>
      </c>
      <c r="I34" s="16" t="n">
        <v>2</v>
      </c>
      <c r="J34" s="19" t="n">
        <f aca="false">Basis!$B$6</f>
        <v>8760</v>
      </c>
      <c r="K34" s="4" t="s">
        <v>160</v>
      </c>
    </row>
    <row r="35" customFormat="false" ht="15" hidden="false" customHeight="false" outlineLevel="0" collapsed="false">
      <c r="A35" s="4" t="s">
        <v>161</v>
      </c>
      <c r="B35" s="4" t="s">
        <v>162</v>
      </c>
      <c r="C35" s="4" t="s">
        <v>120</v>
      </c>
      <c r="D35" s="16" t="n">
        <v>100.6</v>
      </c>
      <c r="E35" s="16" t="n">
        <v>8</v>
      </c>
      <c r="F35" s="9" t="n">
        <v>708.523</v>
      </c>
      <c r="G35" s="17" t="n">
        <f aca="false">F35/Basis!$B$5*Basis!$B$7</f>
        <v>24.6014930555556</v>
      </c>
      <c r="H35" s="18" t="n">
        <f aca="false">G35/ABS(E35-D35)</f>
        <v>0.265674871010319</v>
      </c>
      <c r="I35" s="16" t="n">
        <v>5</v>
      </c>
      <c r="J35" s="19" t="n">
        <f aca="false">Basis!$B$6</f>
        <v>8760</v>
      </c>
      <c r="K35" s="4" t="s">
        <v>163</v>
      </c>
    </row>
    <row r="36" customFormat="false" ht="15" hidden="false" customHeight="false" outlineLevel="0" collapsed="false">
      <c r="A36" s="12"/>
      <c r="B36" s="11" t="s">
        <v>164</v>
      </c>
      <c r="C36" s="12"/>
      <c r="D36" s="12"/>
      <c r="E36" s="12"/>
      <c r="F36" s="20" t="n">
        <f aca="false">SUM(F21:F35)</f>
        <v>12863.5961</v>
      </c>
      <c r="G36" s="21" t="n">
        <f aca="false">SUM(G21:G35)</f>
        <v>446.652642361111</v>
      </c>
      <c r="H36" s="12"/>
      <c r="I36" s="12"/>
      <c r="J36" s="12"/>
      <c r="K3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167</v>
      </c>
      <c r="B5" s="16" t="n">
        <v>4.3</v>
      </c>
      <c r="C5" s="4" t="s">
        <v>168</v>
      </c>
      <c r="D5" s="4" t="s">
        <v>169</v>
      </c>
    </row>
    <row r="6" customFormat="false" ht="15" hidden="false" customHeight="false" outlineLevel="0" collapsed="false">
      <c r="A6" s="4" t="s">
        <v>170</v>
      </c>
      <c r="B6" s="16" t="n">
        <v>0.4</v>
      </c>
      <c r="C6" s="4" t="s">
        <v>171</v>
      </c>
      <c r="D6" s="4" t="s">
        <v>172</v>
      </c>
    </row>
    <row r="7" customFormat="false" ht="15" hidden="false" customHeight="false" outlineLevel="0" collapsed="false">
      <c r="A7" s="4" t="s">
        <v>173</v>
      </c>
      <c r="B7" s="16" t="n">
        <v>2.5</v>
      </c>
      <c r="C7" s="4" t="s">
        <v>171</v>
      </c>
      <c r="D7" s="4" t="s">
        <v>174</v>
      </c>
    </row>
    <row r="8" customFormat="false" ht="15" hidden="false" customHeight="false" outlineLevel="0" collapsed="false">
      <c r="A8" s="4" t="s">
        <v>175</v>
      </c>
      <c r="B8" s="16" t="n">
        <v>0.19</v>
      </c>
      <c r="C8" s="4" t="s">
        <v>171</v>
      </c>
      <c r="D8" s="4" t="s">
        <v>176</v>
      </c>
    </row>
    <row r="9" customFormat="false" ht="15" hidden="false" customHeight="false" outlineLevel="0" collapsed="false">
      <c r="A9" s="4" t="s">
        <v>177</v>
      </c>
      <c r="B9" s="16" t="n">
        <v>0.05</v>
      </c>
      <c r="C9" s="4" t="s">
        <v>171</v>
      </c>
      <c r="D9" s="4" t="s">
        <v>176</v>
      </c>
    </row>
    <row r="10" customFormat="false" ht="15" hidden="false" customHeight="false" outlineLevel="0" collapsed="false">
      <c r="A10" s="4" t="s">
        <v>178</v>
      </c>
      <c r="B10" s="22" t="n">
        <f aca="false">rs_mass!D12/1000</f>
        <v>0.0703090277777778</v>
      </c>
      <c r="C10" s="4" t="s">
        <v>7</v>
      </c>
      <c r="D10" s="4" t="s">
        <v>179</v>
      </c>
    </row>
    <row r="11" customFormat="false" ht="15" hidden="false" customHeight="false" outlineLevel="0" collapsed="false">
      <c r="A11" s="4" t="s">
        <v>180</v>
      </c>
      <c r="B11" s="23" t="n">
        <f aca="false">B5*B6/B7/3.6*1000</f>
        <v>191.111111111111</v>
      </c>
      <c r="C11" s="4" t="s">
        <v>181</v>
      </c>
      <c r="D11" s="12"/>
    </row>
    <row r="13" customFormat="false" ht="15" hidden="false" customHeight="false" outlineLevel="0" collapsed="false">
      <c r="A13" s="3" t="s">
        <v>182</v>
      </c>
      <c r="B13" s="3" t="s">
        <v>183</v>
      </c>
      <c r="C13" s="3" t="s">
        <v>184</v>
      </c>
      <c r="D13" s="3" t="s">
        <v>185</v>
      </c>
    </row>
    <row r="14" customFormat="false" ht="15" hidden="false" customHeight="false" outlineLevel="0" collapsed="false">
      <c r="A14" s="4" t="s">
        <v>186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187</v>
      </c>
    </row>
    <row r="15" customFormat="false" ht="15" hidden="false" customHeight="false" outlineLevel="0" collapsed="false">
      <c r="A15" s="4" t="s">
        <v>188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189</v>
      </c>
    </row>
    <row r="16" customFormat="false" ht="15" hidden="false" customHeight="false" outlineLevel="0" collapsed="false">
      <c r="A16" s="11" t="s">
        <v>190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191</v>
      </c>
    </row>
    <row r="17" customFormat="false" ht="15" hidden="false" customHeight="false" outlineLevel="0" collapsed="false">
      <c r="A17" s="4" t="s">
        <v>192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193</v>
      </c>
    </row>
    <row r="18" customFormat="false" ht="15" hidden="false" customHeight="false" outlineLevel="0" collapsed="false">
      <c r="A18" s="11" t="s">
        <v>194</v>
      </c>
      <c r="B18" s="12"/>
      <c r="C18" s="20" t="n">
        <f aca="false">C16*Basis!$B$6/1000</f>
        <v>1779.725108</v>
      </c>
      <c r="D18" s="12"/>
    </row>
    <row r="20" customFormat="false" ht="15" hidden="false" customHeight="false" outlineLevel="0" collapsed="false">
      <c r="A20" s="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197</v>
      </c>
    </row>
    <row r="4" customFormat="false" ht="15" hidden="false" customHeight="false" outlineLevel="0" collapsed="false">
      <c r="A4" s="3" t="s">
        <v>198</v>
      </c>
      <c r="B4" s="3" t="s">
        <v>199</v>
      </c>
      <c r="C4" s="3" t="s">
        <v>200</v>
      </c>
      <c r="D4" s="3" t="s">
        <v>201</v>
      </c>
    </row>
    <row r="5" customFormat="false" ht="15" hidden="false" customHeight="false" outlineLevel="0" collapsed="false">
      <c r="A5" s="4" t="s">
        <v>202</v>
      </c>
      <c r="B5" s="27" t="n">
        <v>497.696698465167</v>
      </c>
      <c r="C5" s="28" t="n">
        <f aca="false">B5*Basis!$B$5</f>
        <v>14333.6649157968</v>
      </c>
      <c r="D5" s="28" t="n">
        <f aca="false">C5*Basis!$B$6/1000</f>
        <v>125562.90466238</v>
      </c>
    </row>
    <row r="6" customFormat="false" ht="15" hidden="false" customHeight="false" outlineLevel="0" collapsed="false">
      <c r="A6" s="4" t="s">
        <v>203</v>
      </c>
      <c r="B6" s="27" t="n">
        <v>446.652640169528</v>
      </c>
      <c r="C6" s="28" t="n">
        <f aca="false">B6*Basis!$B$5</f>
        <v>12863.5960368824</v>
      </c>
      <c r="D6" s="28" t="n">
        <f aca="false">C6*Basis!$B$6/1000</f>
        <v>112685.10128309</v>
      </c>
    </row>
    <row r="7" customFormat="false" ht="15" hidden="false" customHeight="false" outlineLevel="0" collapsed="false">
      <c r="A7" s="4" t="s">
        <v>204</v>
      </c>
      <c r="B7" s="27" t="n">
        <v>182.492273626266</v>
      </c>
      <c r="C7" s="28" t="n">
        <f aca="false">B7*Basis!$B$5</f>
        <v>5255.77748043645</v>
      </c>
      <c r="D7" s="28" t="n">
        <f aca="false">C7*Basis!$B$6/1000</f>
        <v>46040.6107286233</v>
      </c>
    </row>
    <row r="8" customFormat="false" ht="15" hidden="false" customHeight="false" outlineLevel="0" collapsed="false">
      <c r="A8" s="4" t="s">
        <v>205</v>
      </c>
      <c r="B8" s="27" t="n">
        <v>131.448215330627</v>
      </c>
      <c r="C8" s="28" t="n">
        <f aca="false">B8*Basis!$B$5</f>
        <v>3785.70860152205</v>
      </c>
      <c r="D8" s="28" t="n">
        <f aca="false">C8*Basis!$B$6/1000</f>
        <v>33162.8073493332</v>
      </c>
    </row>
    <row r="9" customFormat="false" ht="15" hidden="false" customHeight="false" outlineLevel="0" collapsed="false">
      <c r="A9" s="4" t="s">
        <v>206</v>
      </c>
      <c r="B9" s="27" t="n">
        <v>15.7308850525925</v>
      </c>
      <c r="C9" s="28" t="n">
        <f aca="false">B9*Basis!$B$5</f>
        <v>453.049489514663</v>
      </c>
      <c r="D9" s="28" t="n">
        <f aca="false">C9*Basis!$B$6/1000</f>
        <v>3968.71352814845</v>
      </c>
    </row>
    <row r="10" customFormat="false" ht="15" hidden="false" customHeight="false" outlineLevel="0" collapsed="false">
      <c r="A10" s="4" t="s">
        <v>207</v>
      </c>
      <c r="B10" s="27" t="n">
        <v>315.204424838901</v>
      </c>
      <c r="C10" s="28" t="n">
        <f aca="false">B10*Basis!$B$5</f>
        <v>9077.88743536035</v>
      </c>
      <c r="D10" s="28" t="n">
        <f aca="false">C10*Basis!$B$6/1000</f>
        <v>79522.2939337566</v>
      </c>
    </row>
    <row r="11" customFormat="false" ht="15" hidden="false" customHeight="false" outlineLevel="0" collapsed="false">
      <c r="A11" s="4" t="s">
        <v>208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209</v>
      </c>
    </row>
    <row r="14" customFormat="false" ht="15" hidden="false" customHeight="false" outlineLevel="0" collapsed="false">
      <c r="A14" s="4" t="s">
        <v>210</v>
      </c>
      <c r="B14" s="27" t="n">
        <f aca="false">ROUND(B5-qt!G19,1)</f>
        <v>-0</v>
      </c>
    </row>
    <row r="15" customFormat="false" ht="15" hidden="false" customHeight="false" outlineLevel="0" collapsed="false">
      <c r="A15" s="4" t="s">
        <v>211</v>
      </c>
      <c r="B15" s="27" t="n">
        <f aca="false">ROUND(B6-qt!G36,1)</f>
        <v>-0</v>
      </c>
    </row>
    <row r="16" customFormat="false" ht="15" hidden="false" customHeight="false" outlineLevel="0" collapsed="false">
      <c r="A16" s="4" t="s">
        <v>212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2026-10-12T17:33:45Z</dcterms:created>
  <dc:creator>openpyxl</dc:creator>
  <dc:description/>
  <dc:language>en-US</dc:language>
  <cp:lastModifiedBy/>
  <dcterms:modified xsi:type="dcterms:W3CDTF">2026-10-12T17:33:45Z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