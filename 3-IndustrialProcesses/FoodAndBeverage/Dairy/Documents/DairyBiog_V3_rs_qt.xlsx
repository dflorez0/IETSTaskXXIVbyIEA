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sis" sheetId="1" state="visible" r:id="rId3"/>
    <sheet name="rs_mass" sheetId="2" state="visible" r:id="rId4"/>
    <sheet name="qt" sheetId="3" state="visible" r:id="rId5"/>
    <sheet name="rs_electricity" sheetId="4" state="visible" r:id="rId6"/>
    <sheet name="biogas_options" sheetId="5" state="visible" r:id="rId7"/>
    <sheet name="targe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<sst xmlns="http://schemas.openxmlformats.org/spreadsheetml/2006/main" count="305" uniqueCount="238">
  <si>
    <t xml:space="preserve">Dairy plant V3: basis and data sources</t>
  </si>
  <si>
    <t xml:space="preserve">Yellow cells with blue text are inputs (plant values of the source model); green text links to another sheet. Results are given per 1 t/h of fresh milk (kg/h = kg/t; kW = kWh/t).</t>
  </si>
  <si>
    <t xml:space="preserve">Parameter</t>
  </si>
  <si>
    <t xml:space="preserve">Value</t>
  </si>
  <si>
    <t xml:space="preserve">Unit</t>
  </si>
  <si>
    <t xml:space="preserve">Source</t>
  </si>
  <si>
    <t xml:space="preserve">Fresh milk processed by the reference plant</t>
  </si>
  <si>
    <t xml:space="preserve">t/h</t>
  </si>
  <si>
    <t xml:space="preserve">IPESE dairy model (Dardor et al., 2024)</t>
  </si>
  <si>
    <t xml:space="preserve">Operating time</t>
  </si>
  <si>
    <t xml:space="preserve">h/y</t>
  </si>
  <si>
    <t xml:space="preserve">ROSMOSE MER runs (op_time)</t>
  </si>
  <si>
    <t xml:space="preserve">Reference flow of fresh milk</t>
  </si>
  <si>
    <t xml:space="preserve">Basis of all tables</t>
  </si>
  <si>
    <t xml:space="preserve">Data: IPESE dairy model (DWSIM simulation implemented in ROSMOSE), latest MER runs; IETS Task XXIV dairy data set.</t>
  </si>
  <si>
    <t xml:space="preserve">Evaporator described effect by effect; condensing and boiling streams use dTmin/2 = 2 K, liquid streams 5 K.</t>
  </si>
  <si>
    <t xml:space="preserve">Lumped streams: sums of source-model streams over their combined temperature range (origin in column K of the qt sheet).</t>
  </si>
  <si>
    <t xml:space="preserve">Utilities (steam, hot water, refrigeration, cooling water, cooling towers) are not part of the process data.</t>
  </si>
  <si>
    <t xml:space="preserve">Process electricity (rs_electricity): derived from Ramirez et al. (2006), Energy 31, 1984-2004; electricity share and allocation are assumptions.</t>
  </si>
  <si>
    <t xml:space="preserve">rs: material flows of variant V3</t>
  </si>
  <si>
    <t xml:space="preserve">Stream</t>
  </si>
  <si>
    <t xml:space="preserve">Direction</t>
  </si>
  <si>
    <t xml:space="preserve">Flow, plant (kg/h)</t>
  </si>
  <si>
    <t xml:space="preserve">Flow, 1 t/h of milk (kg/h)</t>
  </si>
  <si>
    <t xml:space="preserve">T (C)</t>
  </si>
  <si>
    <t xml:space="preserve">Inputs</t>
  </si>
  <si>
    <t xml:space="preserve">Fresh milk</t>
  </si>
  <si>
    <t xml:space="preserve">in</t>
  </si>
  <si>
    <t xml:space="preserve">6</t>
  </si>
  <si>
    <t xml:space="preserve">Salt</t>
  </si>
  <si>
    <t xml:space="preserve">25</t>
  </si>
  <si>
    <t xml:space="preserve">Water for brining</t>
  </si>
  <si>
    <t xml:space="preserve">12</t>
  </si>
  <si>
    <t xml:space="preserve">Water for cleaning (CIP)</t>
  </si>
  <si>
    <t xml:space="preserve">Total in</t>
  </si>
  <si>
    <t xml:space="preserve">Outputs</t>
  </si>
  <si>
    <t xml:space="preserve">Cream</t>
  </si>
  <si>
    <t xml:space="preserve">out</t>
  </si>
  <si>
    <t xml:space="preserve">4</t>
  </si>
  <si>
    <t xml:space="preserve">Cheese</t>
  </si>
  <si>
    <t xml:space="preserve">13</t>
  </si>
  <si>
    <t xml:space="preserve">Biogas (55 vol % CH4)</t>
  </si>
  <si>
    <t xml:space="preserve">Liquid fertiliser (digestate liquor)</t>
  </si>
  <si>
    <t xml:space="preserve">95</t>
  </si>
  <si>
    <t xml:space="preserve">Dried digestate</t>
  </si>
  <si>
    <t xml:space="preserve">100</t>
  </si>
  <si>
    <t xml:space="preserve">Digester wastewater and drying condensate</t>
  </si>
  <si>
    <t xml:space="preserve">Evaporator condensate water</t>
  </si>
  <si>
    <t xml:space="preserve">65</t>
  </si>
  <si>
    <t xml:space="preserve">Treated water discharge</t>
  </si>
  <si>
    <t xml:space="preserve">20</t>
  </si>
  <si>
    <t xml:space="preserve">CIP water discharge</t>
  </si>
  <si>
    <t xml:space="preserve">30</t>
  </si>
  <si>
    <t xml:space="preserve">Total out</t>
  </si>
  <si>
    <t xml:space="preserve">Internal flows</t>
  </si>
  <si>
    <t xml:space="preserve">Skimmed milk to evaporation</t>
  </si>
  <si>
    <t xml:space="preserve">Concentrated milk to cheese making</t>
  </si>
  <si>
    <t xml:space="preserve">Concentrated milk losses to wastewater</t>
  </si>
  <si>
    <t xml:space="preserve">Brine to wastewater treatment</t>
  </si>
  <si>
    <t xml:space="preserve">Evaporator wastewater to treatment</t>
  </si>
  <si>
    <t xml:space="preserve">Whey to the digester (diluted + concentrated)</t>
  </si>
  <si>
    <t xml:space="preserve">Sludge to the digester</t>
  </si>
  <si>
    <t xml:space="preserve">Closure check: total in minus total out (kg/h, plant)</t>
  </si>
  <si>
    <t xml:space="preserve">qt: thermal streams of variant V3, per 1 t/h of fresh milk</t>
  </si>
  <si>
    <t xml:space="preserve">Q at plant scale (input, kW) is normalised by the fresh-milk flow. Hot streams (H) must be cooled, cold streams (C) must be heated.</t>
  </si>
  <si>
    <t xml:space="preserve">ID</t>
  </si>
  <si>
    <t xml:space="preserve">Type</t>
  </si>
  <si>
    <t xml:space="preserve">Tin (C)</t>
  </si>
  <si>
    <t xml:space="preserve">Tout (C)</t>
  </si>
  <si>
    <t xml:space="preserve">Q, plant (kW)</t>
  </si>
  <si>
    <t xml:space="preserve">Q, 1 t/h (kW)</t>
  </si>
  <si>
    <t xml:space="preserve">mCp, 1 t/h (kW/K)</t>
  </si>
  <si>
    <t xml:space="preserve">dTmin/2 (K)</t>
  </si>
  <si>
    <t xml:space="preserve">Operating time (h/y)</t>
  </si>
  <si>
    <t xml:space="preserve">Origin in the source model</t>
  </si>
  <si>
    <t xml:space="preserve">Cold streams (to be heated)</t>
  </si>
  <si>
    <t xml:space="preserve">C1</t>
  </si>
  <si>
    <t xml:space="preserve">Pasteurisation: Fresh milk heating to pasteurisation</t>
  </si>
  <si>
    <t xml:space="preserve">cold</t>
  </si>
  <si>
    <t xml:space="preserve">HHX1 + HHX2 + HT1</t>
  </si>
  <si>
    <t xml:space="preserve">C2</t>
  </si>
  <si>
    <t xml:space="preserve">Evaporation: Skimmed milk preheating</t>
  </si>
  <si>
    <t xml:space="preserve">HHX1_out to HHX4_out + HHX5_boiler_a</t>
  </si>
  <si>
    <t xml:space="preserve">C3</t>
  </si>
  <si>
    <t xml:space="preserve">Evaporation: Effect 1, boiling (steam-heated)</t>
  </si>
  <si>
    <t xml:space="preserve">HHX5_boiler_b</t>
  </si>
  <si>
    <t xml:space="preserve">C4</t>
  </si>
  <si>
    <t xml:space="preserve">Evaporation: Effect 2, boiling</t>
  </si>
  <si>
    <t xml:space="preserve">HHX6_out</t>
  </si>
  <si>
    <t xml:space="preserve">C5</t>
  </si>
  <si>
    <t xml:space="preserve">Evaporation: Effect 3, boiling</t>
  </si>
  <si>
    <t xml:space="preserve">HHX7_out</t>
  </si>
  <si>
    <t xml:space="preserve">C6</t>
  </si>
  <si>
    <t xml:space="preserve">Cheese: Concentrated milk heating for curdling</t>
  </si>
  <si>
    <t xml:space="preserve">HHX1_boiler + HHX2_boiler</t>
  </si>
  <si>
    <t xml:space="preserve">C7</t>
  </si>
  <si>
    <t xml:space="preserve">Cheese: Brining water warming</t>
  </si>
  <si>
    <t xml:space="preserve">MIX1_c8</t>
  </si>
  <si>
    <t xml:space="preserve">C8</t>
  </si>
  <si>
    <t xml:space="preserve">CIP: Make-up water heating</t>
  </si>
  <si>
    <t xml:space="preserve">MIX1_CIP1</t>
  </si>
  <si>
    <t xml:space="preserve">C9</t>
  </si>
  <si>
    <t xml:space="preserve">CIP: Cleaning water heating</t>
  </si>
  <si>
    <t xml:space="preserve">HHX1_boiler</t>
  </si>
  <si>
    <t xml:space="preserve">C10</t>
  </si>
  <si>
    <t xml:space="preserve">Biogas: Digester feed heating</t>
  </si>
  <si>
    <t xml:space="preserve">HT1_boiler</t>
  </si>
  <si>
    <t xml:space="preserve">C11</t>
  </si>
  <si>
    <t xml:space="preserve">Biogas: Digester at 55 °C (heat losses and reaction)</t>
  </si>
  <si>
    <t xml:space="preserve">Digester_boiler</t>
  </si>
  <si>
    <t xml:space="preserve">C12</t>
  </si>
  <si>
    <t xml:space="preserve">Biogas: Digestate heating to drying</t>
  </si>
  <si>
    <t xml:space="preserve">HT2_boiler</t>
  </si>
  <si>
    <t xml:space="preserve">C13</t>
  </si>
  <si>
    <t xml:space="preserve">Biogas: Digestate drying, water evaporation</t>
  </si>
  <si>
    <t xml:space="preserve">HT3_b + HT3_C</t>
  </si>
  <si>
    <t xml:space="preserve">Total cold streams</t>
  </si>
  <si>
    <t xml:space="preserve">Hot streams (to be cooled)</t>
  </si>
  <si>
    <t xml:space="preserve">H1</t>
  </si>
  <si>
    <t xml:space="preserve">Pasteurisation: Raw milk cooling on reception</t>
  </si>
  <si>
    <t xml:space="preserve">hot</t>
  </si>
  <si>
    <t xml:space="preserve">CL1_ref</t>
  </si>
  <si>
    <t xml:space="preserve">H2</t>
  </si>
  <si>
    <t xml:space="preserve">Pasteurisation: Pasteurised milk cooling</t>
  </si>
  <si>
    <t xml:space="preserve">CHX2 + CHX1 + CL2_ref</t>
  </si>
  <si>
    <t xml:space="preserve">H3</t>
  </si>
  <si>
    <t xml:space="preserve">Evaporation: Effect 1 vapour, condensing</t>
  </si>
  <si>
    <t xml:space="preserve">HHX6_in + HHX4_in + steamML_e19a</t>
  </si>
  <si>
    <t xml:space="preserve">H4</t>
  </si>
  <si>
    <t xml:space="preserve">Evaporation: Effect 2 vapour, condensing</t>
  </si>
  <si>
    <t xml:space="preserve">HHX7_in + HHX3_in + steamML_e16a + e45a</t>
  </si>
  <si>
    <t xml:space="preserve">H5</t>
  </si>
  <si>
    <t xml:space="preserve">Evaporation: Effect 3 vapour, condensing</t>
  </si>
  <si>
    <t xml:space="preserve">HHX2_in + steamML_e13a</t>
  </si>
  <si>
    <t xml:space="preserve">H6</t>
  </si>
  <si>
    <t xml:space="preserve">Evaporation: Condensate cooling</t>
  </si>
  <si>
    <t xml:space="preserve">steamML_e13b, e16b, e19b, e36, e45b</t>
  </si>
  <si>
    <t xml:space="preserve">H7</t>
  </si>
  <si>
    <t xml:space="preserve">Evaporation: Concentrated milk cooling</t>
  </si>
  <si>
    <t xml:space="preserve">CHX1 + CL1</t>
  </si>
  <si>
    <t xml:space="preserve">H8</t>
  </si>
  <si>
    <t xml:space="preserve">Cheese: Curd and whey cooling</t>
  </si>
  <si>
    <t xml:space="preserve">CL1</t>
  </si>
  <si>
    <t xml:space="preserve">H9</t>
  </si>
  <si>
    <t xml:space="preserve">Cheese: Brining, cooling side (lumped)</t>
  </si>
  <si>
    <t xml:space="preserve">CL2_ref + MIX1_c6 + MIX1_c7</t>
  </si>
  <si>
    <t xml:space="preserve">H10</t>
  </si>
  <si>
    <t xml:space="preserve">CIP: Cleaning circuits, cooling</t>
  </si>
  <si>
    <t xml:space="preserve">CHX2_cw + CHX3_cw</t>
  </si>
  <si>
    <t xml:space="preserve">H11</t>
  </si>
  <si>
    <t xml:space="preserve">CIP: Returned water cooling before reuse</t>
  </si>
  <si>
    <t xml:space="preserve">MIX1_CIP5</t>
  </si>
  <si>
    <t xml:space="preserve">H12</t>
  </si>
  <si>
    <t xml:space="preserve">CIP: Spent water cooling before discharge</t>
  </si>
  <si>
    <t xml:space="preserve">CHX4_cw</t>
  </si>
  <si>
    <t xml:space="preserve">H13</t>
  </si>
  <si>
    <t xml:space="preserve">Biogas: Drying vapour, condensation</t>
  </si>
  <si>
    <t xml:space="preserve">HT4_a + HT4_b</t>
  </si>
  <si>
    <t xml:space="preserve">H14</t>
  </si>
  <si>
    <t xml:space="preserve">Biogas: Drying condensate cooling</t>
  </si>
  <si>
    <t xml:space="preserve">HT4_C</t>
  </si>
  <si>
    <t xml:space="preserve">Total hot streams</t>
  </si>
  <si>
    <t xml:space="preserve">rs: process electricity of the cheese line, variant V3, per 1 t/h of fresh milk</t>
  </si>
  <si>
    <t xml:space="preserve">Derived from sector data (Ramirez et al., 2006). Refrigeration is a utility and is excluded from the process electricity; it is shown for comparison only.</t>
  </si>
  <si>
    <t xml:space="preserve">Specific primary energy use of cheese production</t>
  </si>
  <si>
    <t xml:space="preserve">GJ/t cheese</t>
  </si>
  <si>
    <t xml:space="preserve">Ramirez et al. (2006), Table 7</t>
  </si>
  <si>
    <t xml:space="preserve">Electricity share of primary energy</t>
  </si>
  <si>
    <t xml:space="preserve">-</t>
  </si>
  <si>
    <t xml:space="preserve">Ramirez et al. (2006), Section 5 (sector-wide share); assumption for cheese</t>
  </si>
  <si>
    <t xml:space="preserve">Primary energy factor of electricity</t>
  </si>
  <si>
    <t xml:space="preserve">Ramirez et al. (2006), Section 3</t>
  </si>
  <si>
    <t xml:space="preserve">Cooling share of primary energy (assumed fully electric)</t>
  </si>
  <si>
    <t xml:space="preserve">Ramirez et al. (2006), Table 4, cheese</t>
  </si>
  <si>
    <t xml:space="preserve">Compressed-air share of primary energy (assumed fully electric)</t>
  </si>
  <si>
    <t xml:space="preserve">Cheese produced per 1 t/h of milk</t>
  </si>
  <si>
    <t xml:space="preserve">rs_mass sheet</t>
  </si>
  <si>
    <t xml:space="preserve">Electricity per tonne of cheese, all uses</t>
  </si>
  <si>
    <t xml:space="preserve">kWh/t cheese</t>
  </si>
  <si>
    <t xml:space="preserve">Item</t>
  </si>
  <si>
    <t xml:space="preserve">kW at 1 t/h</t>
  </si>
  <si>
    <t xml:space="preserve">kW, plant</t>
  </si>
  <si>
    <t xml:space="preserve">Basis</t>
  </si>
  <si>
    <t xml:space="preserve">Electric drives: separator, pumps, agitators, curd and cheese handling, CIP pumps</t>
  </si>
  <si>
    <t xml:space="preserve">Electricity share minus cooling and compressed air</t>
  </si>
  <si>
    <t xml:space="preserve">Compressed air</t>
  </si>
  <si>
    <t xml:space="preserve">Compressed-air share</t>
  </si>
  <si>
    <t xml:space="preserve">Total process electricity</t>
  </si>
  <si>
    <t xml:space="preserve">Annual (MWh/y) in cell C18</t>
  </si>
  <si>
    <t xml:space="preserve">For comparison only: refrigeration compressors (utility, not process data)</t>
  </si>
  <si>
    <t xml:space="preserve">Cooling share</t>
  </si>
  <si>
    <t xml:space="preserve">Total process electricity, plant (MWh/y)</t>
  </si>
  <si>
    <t xml:space="preserve">The electricity of the digestion unit is not covered by the reference and is not included; see biogas_options for the engine and the membranes.</t>
  </si>
  <si>
    <t xml:space="preserve">Biogas use options (utility choices), per 1 t/h of fresh milk</t>
  </si>
  <si>
    <t xml:space="preserve">Biogas flow, plant</t>
  </si>
  <si>
    <t xml:space="preserve">kg/h</t>
  </si>
  <si>
    <t xml:space="preserve">IPESE dairy model, digester output</t>
  </si>
  <si>
    <t xml:space="preserve">Methane mass fraction in biogas</t>
  </si>
  <si>
    <t xml:space="preserve">kg/kg</t>
  </si>
  <si>
    <t xml:space="preserve">55 vol % CH4 (Dardor et al., 2024)</t>
  </si>
  <si>
    <t xml:space="preserve">LHV of methane</t>
  </si>
  <si>
    <t xml:space="preserve">kJ/kg</t>
  </si>
  <si>
    <t xml:space="preserve">Property value</t>
  </si>
  <si>
    <t xml:space="preserve">Engine electrical efficiency</t>
  </si>
  <si>
    <t xml:space="preserve">IPESE biogas utility model</t>
  </si>
  <si>
    <t xml:space="preserve">Engine heat in flue gas, 450 to 150 C</t>
  </si>
  <si>
    <t xml:space="preserve">Engine heat in cooling water, 90 to 40 C</t>
  </si>
  <si>
    <t xml:space="preserve">Membrane upgrading electricity</t>
  </si>
  <si>
    <t xml:space="preserve">kWh/m3 biogas</t>
  </si>
  <si>
    <t xml:space="preserve">Bauer et al. (2013)</t>
  </si>
  <si>
    <t xml:space="preserve">Biogas density</t>
  </si>
  <si>
    <t xml:space="preserve">kg/m3</t>
  </si>
  <si>
    <t xml:space="preserve">Quantity, 1 t/h of milk</t>
  </si>
  <si>
    <t xml:space="preserve">Cogeneration engine</t>
  </si>
  <si>
    <t xml:space="preserve">Membrane upgrading and export</t>
  </si>
  <si>
    <t xml:space="preserve">Biogas flow (kg/h)</t>
  </si>
  <si>
    <t xml:space="preserve">Biogas energy, LHV (kW)</t>
  </si>
  <si>
    <t xml:space="preserve">Electricity produced (+) or used (-) (kW)</t>
  </si>
  <si>
    <t xml:space="preserve">Heat in flue gas (kW)</t>
  </si>
  <si>
    <t xml:space="preserve">Heat in cooling water (kW)</t>
  </si>
  <si>
    <t xml:space="preserve">Biomethane exported (kW)</t>
  </si>
  <si>
    <t xml:space="preserve">Reference targets for the 27 streams of the qt sheet</t>
  </si>
  <si>
    <t xml:space="preserve">Problem-table results with the dTmin/2 of each stream, given as values to check your own calculation.</t>
  </si>
  <si>
    <t xml:space="preserve">Quantity</t>
  </si>
  <si>
    <t xml:space="preserve">1 t/h (kW)</t>
  </si>
  <si>
    <t xml:space="preserve">Plant (kW)</t>
  </si>
  <si>
    <t xml:space="preserve">Plant (MWh/y)</t>
  </si>
  <si>
    <t xml:space="preserve">Total heating demand (cold streams)</t>
  </si>
  <si>
    <t xml:space="preserve">Total cooling demand (hot streams)</t>
  </si>
  <si>
    <t xml:space="preserve">Minimum hot utility</t>
  </si>
  <si>
    <t xml:space="preserve">Minimum cold utility</t>
  </si>
  <si>
    <t xml:space="preserve">   of which below ambient (refrigeration)</t>
  </si>
  <si>
    <t xml:space="preserve">Maximum heat recovery</t>
  </si>
  <si>
    <t xml:space="preserve">Pinch temperature, shifted (C)</t>
  </si>
  <si>
    <t xml:space="preserve">Consistency check with the qt sheet (should be 0.0)</t>
  </si>
  <si>
    <t xml:space="preserve">Heating demand: targets minus qt total</t>
  </si>
  <si>
    <t xml:space="preserve">Cooling demand: targets minus qt total</t>
  </si>
  <si>
    <t xml:space="preserve">Energy balance: (Qh - Qc) minus (heating - cooling)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</si>
</sst>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#,##0"/>
    <numFmt numFmtId="167" formatCode="#,##0.0"/>
    <numFmt numFmtId="168" formatCode="0.000"/>
    <numFmt numFmtId="169" formatCode="0.00"/>
    <numFmt numFmtId="170" formatCode="0.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F99"/>
        <bgColor rgb="FFFFFFCC"/>
      </patternFill>
    </fill>
    <fill>
      <patternFill patternType="solid">
        <fgColor rgb="FFF2F2F2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28.8</v>
      </c>
      <c r="C5" s="4" t="s">
        <v>7</v>
      </c>
      <c r="D5" s="4" t="s">
        <v>8</v>
      </c>
    </row>
    <row r="6" customFormat="false" ht="15" hidden="false" customHeight="false" outlineLevel="0" collapsed="false">
      <c r="A6" s="4" t="s">
        <v>9</v>
      </c>
      <c r="B6" s="6" t="n">
        <v>8760</v>
      </c>
      <c r="C6" s="4" t="s">
        <v>10</v>
      </c>
      <c r="D6" s="4" t="s">
        <v>11</v>
      </c>
    </row>
    <row r="7" customFormat="false" ht="15" hidden="false" customHeight="false" outlineLevel="0" collapsed="false">
      <c r="A7" s="4" t="s">
        <v>12</v>
      </c>
      <c r="B7" s="5" t="n">
        <v>1</v>
      </c>
      <c r="C7" s="4" t="s">
        <v>7</v>
      </c>
      <c r="D7" s="4" t="s">
        <v>13</v>
      </c>
    </row>
    <row r="9" customFormat="false" ht="15" hidden="false" customHeight="false" outlineLevel="0" collapsed="false">
      <c r="A9" s="2" t="s">
        <v>14</v>
      </c>
    </row>
    <row r="10" customFormat="false" ht="15" hidden="false" customHeight="false" outlineLevel="0" collapsed="false">
      <c r="A10" s="2" t="s">
        <v>15</v>
      </c>
    </row>
    <row r="11" customFormat="false" ht="15" hidden="false" customHeight="false" outlineLevel="0" collapsed="false">
      <c r="A11" s="2" t="s">
        <v>16</v>
      </c>
    </row>
    <row r="12" customFormat="false" ht="15" hidden="false" customHeight="false" outlineLevel="0" collapsed="false">
      <c r="A12" s="2" t="s">
        <v>17</v>
      </c>
    </row>
    <row r="13" customFormat="false" ht="15" hidden="false" customHeight="false" outlineLevel="0" collapsed="false">
      <c r="A1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0"/>
  </cols>
  <sheetData>
    <row r="1" customFormat="false" ht="16.15" hidden="false" customHeight="false" outlineLevel="0" collapsed="false">
      <c r="A1" s="1" t="s">
        <v>19</v>
      </c>
    </row>
    <row r="3" customFormat="false" ht="23.85" hidden="false" customHeight="fals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</row>
    <row r="4" customFormat="false" ht="15" hidden="false" customHeight="false" outlineLevel="0" collapsed="false">
      <c r="A4" s="7" t="s">
        <v>25</v>
      </c>
      <c r="B4" s="8"/>
      <c r="C4" s="8"/>
      <c r="D4" s="8"/>
      <c r="E4" s="8"/>
    </row>
    <row r="5" customFormat="false" ht="15" hidden="false" customHeight="false" outlineLevel="0" collapsed="false">
      <c r="A5" s="4" t="s">
        <v>26</v>
      </c>
      <c r="B5" s="4" t="s">
        <v>27</v>
      </c>
      <c r="C5" s="9" t="n">
        <v>28800</v>
      </c>
      <c r="D5" s="10" t="n">
        <f aca="false">C5/Basis!$B$5*Basis!$B$7</f>
        <v>1000</v>
      </c>
      <c r="E5" s="4" t="s">
        <v>28</v>
      </c>
    </row>
    <row r="6" customFormat="false" ht="15" hidden="false" customHeight="false" outlineLevel="0" collapsed="false">
      <c r="A6" s="4" t="s">
        <v>29</v>
      </c>
      <c r="B6" s="4" t="s">
        <v>27</v>
      </c>
      <c r="C6" s="9" t="n">
        <v>175.3</v>
      </c>
      <c r="D6" s="10" t="n">
        <f aca="false">C6/Basis!$B$5*Basis!$B$7</f>
        <v>6.08680555555556</v>
      </c>
      <c r="E6" s="4" t="s">
        <v>30</v>
      </c>
    </row>
    <row r="7" customFormat="false" ht="15" hidden="false" customHeight="false" outlineLevel="0" collapsed="false">
      <c r="A7" s="4" t="s">
        <v>31</v>
      </c>
      <c r="B7" s="4" t="s">
        <v>27</v>
      </c>
      <c r="C7" s="9" t="n">
        <v>900</v>
      </c>
      <c r="D7" s="10" t="n">
        <f aca="false">C7/Basis!$B$5*Basis!$B$7</f>
        <v>31.25</v>
      </c>
      <c r="E7" s="4" t="s">
        <v>32</v>
      </c>
    </row>
    <row r="8" customFormat="false" ht="15" hidden="false" customHeight="false" outlineLevel="0" collapsed="false">
      <c r="A8" s="4" t="s">
        <v>33</v>
      </c>
      <c r="B8" s="4" t="s">
        <v>27</v>
      </c>
      <c r="C8" s="9" t="n">
        <v>4320</v>
      </c>
      <c r="D8" s="10" t="n">
        <f aca="false">C8/Basis!$B$5*Basis!$B$7</f>
        <v>150</v>
      </c>
      <c r="E8" s="4" t="s">
        <v>30</v>
      </c>
    </row>
    <row r="9" customFormat="false" ht="15" hidden="false" customHeight="false" outlineLevel="0" collapsed="false">
      <c r="A9" s="11" t="s">
        <v>34</v>
      </c>
      <c r="B9" s="12"/>
      <c r="C9" s="13" t="n">
        <f aca="false">SUM(C5:C8)</f>
        <v>34195.3</v>
      </c>
      <c r="D9" s="13" t="n">
        <f aca="false">SUM(D5:D8)</f>
        <v>1187.33680555556</v>
      </c>
      <c r="E9" s="12"/>
    </row>
    <row r="10" customFormat="false" ht="15" hidden="false" customHeight="false" outlineLevel="0" collapsed="false">
      <c r="A10" s="7" t="s">
        <v>35</v>
      </c>
      <c r="B10" s="8"/>
      <c r="C10" s="8"/>
      <c r="D10" s="8"/>
      <c r="E10" s="8"/>
    </row>
    <row r="11" customFormat="false" ht="15" hidden="false" customHeight="false" outlineLevel="0" collapsed="false">
      <c r="A11" s="4" t="s">
        <v>36</v>
      </c>
      <c r="B11" s="4" t="s">
        <v>37</v>
      </c>
      <c r="C11" s="9" t="n">
        <v>1714.2</v>
      </c>
      <c r="D11" s="10" t="n">
        <f aca="false">C11/Basis!$B$5*Basis!$B$7</f>
        <v>59.5208333333333</v>
      </c>
      <c r="E11" s="4" t="s">
        <v>38</v>
      </c>
    </row>
    <row r="12" customFormat="false" ht="15" hidden="false" customHeight="false" outlineLevel="0" collapsed="false">
      <c r="A12" s="4" t="s">
        <v>39</v>
      </c>
      <c r="B12" s="4" t="s">
        <v>37</v>
      </c>
      <c r="C12" s="9" t="n">
        <v>2024.9</v>
      </c>
      <c r="D12" s="10" t="n">
        <f aca="false">C12/Basis!$B$5*Basis!$B$7</f>
        <v>70.3090277777778</v>
      </c>
      <c r="E12" s="4" t="s">
        <v>40</v>
      </c>
    </row>
    <row r="13" customFormat="false" ht="15" hidden="false" customHeight="false" outlineLevel="0" collapsed="false">
      <c r="A13" s="4" t="s">
        <v>41</v>
      </c>
      <c r="B13" s="4" t="s">
        <v>37</v>
      </c>
      <c r="C13" s="9" t="n">
        <v>340.6</v>
      </c>
      <c r="D13" s="10" t="n">
        <f aca="false">C13/Basis!$B$5*Basis!$B$7</f>
        <v>11.8263888888889</v>
      </c>
      <c r="E13" s="4" t="s">
        <v>30</v>
      </c>
    </row>
    <row r="14" customFormat="false" ht="15" hidden="false" customHeight="false" outlineLevel="0" collapsed="false">
      <c r="A14" s="4" t="s">
        <v>42</v>
      </c>
      <c r="B14" s="4" t="s">
        <v>37</v>
      </c>
      <c r="C14" s="9" t="n">
        <v>1841.4</v>
      </c>
      <c r="D14" s="10" t="n">
        <f aca="false">C14/Basis!$B$5*Basis!$B$7</f>
        <v>63.9375</v>
      </c>
      <c r="E14" s="4" t="s">
        <v>43</v>
      </c>
    </row>
    <row r="15" customFormat="false" ht="15" hidden="false" customHeight="false" outlineLevel="0" collapsed="false">
      <c r="A15" s="4" t="s">
        <v>44</v>
      </c>
      <c r="B15" s="4" t="s">
        <v>37</v>
      </c>
      <c r="C15" s="9" t="n">
        <v>1895.4</v>
      </c>
      <c r="D15" s="10" t="n">
        <f aca="false">C15/Basis!$B$5*Basis!$B$7</f>
        <v>65.8125</v>
      </c>
      <c r="E15" s="4" t="s">
        <v>45</v>
      </c>
    </row>
    <row r="16" customFormat="false" ht="15" hidden="false" customHeight="false" outlineLevel="0" collapsed="false">
      <c r="A16" s="4" t="s">
        <v>46</v>
      </c>
      <c r="B16" s="4" t="s">
        <v>37</v>
      </c>
      <c r="C16" s="9" t="n">
        <v>4660.03</v>
      </c>
      <c r="D16" s="10" t="n">
        <f aca="false">C16/Basis!$B$5*Basis!$B$7</f>
        <v>161.806597222222</v>
      </c>
      <c r="E16" s="4" t="s">
        <v>30</v>
      </c>
    </row>
    <row r="17" customFormat="false" ht="15" hidden="false" customHeight="false" outlineLevel="0" collapsed="false">
      <c r="A17" s="4" t="s">
        <v>47</v>
      </c>
      <c r="B17" s="4" t="s">
        <v>37</v>
      </c>
      <c r="C17" s="9" t="n">
        <v>12915.94</v>
      </c>
      <c r="D17" s="10" t="n">
        <f aca="false">C17/Basis!$B$5*Basis!$B$7</f>
        <v>448.470138888889</v>
      </c>
      <c r="E17" s="4" t="s">
        <v>48</v>
      </c>
    </row>
    <row r="18" customFormat="false" ht="15" hidden="false" customHeight="false" outlineLevel="0" collapsed="false">
      <c r="A18" s="4" t="s">
        <v>49</v>
      </c>
      <c r="B18" s="4" t="s">
        <v>37</v>
      </c>
      <c r="C18" s="9" t="n">
        <v>4482.83</v>
      </c>
      <c r="D18" s="10" t="n">
        <f aca="false">C18/Basis!$B$5*Basis!$B$7</f>
        <v>155.653819444444</v>
      </c>
      <c r="E18" s="4" t="s">
        <v>50</v>
      </c>
    </row>
    <row r="19" customFormat="false" ht="15" hidden="false" customHeight="false" outlineLevel="0" collapsed="false">
      <c r="A19" s="4" t="s">
        <v>51</v>
      </c>
      <c r="B19" s="4" t="s">
        <v>37</v>
      </c>
      <c r="C19" s="9" t="n">
        <v>4320</v>
      </c>
      <c r="D19" s="10" t="n">
        <f aca="false">C19/Basis!$B$5*Basis!$B$7</f>
        <v>150</v>
      </c>
      <c r="E19" s="4" t="s">
        <v>52</v>
      </c>
    </row>
    <row r="20" customFormat="false" ht="15" hidden="false" customHeight="false" outlineLevel="0" collapsed="false">
      <c r="A20" s="11" t="s">
        <v>53</v>
      </c>
      <c r="B20" s="12"/>
      <c r="C20" s="13" t="n">
        <f aca="false">SUM(C11:C19)</f>
        <v>34195.3</v>
      </c>
      <c r="D20" s="13" t="n">
        <f aca="false">SUM(D11:D19)</f>
        <v>1187.33680555556</v>
      </c>
      <c r="E20" s="12"/>
    </row>
    <row r="21" customFormat="false" ht="15" hidden="false" customHeight="false" outlineLevel="0" collapsed="false">
      <c r="A21" s="7" t="s">
        <v>54</v>
      </c>
      <c r="B21" s="8"/>
      <c r="C21" s="8"/>
      <c r="D21" s="8"/>
      <c r="E21" s="8"/>
    </row>
    <row r="22" customFormat="false" ht="15" hidden="false" customHeight="false" outlineLevel="0" collapsed="false">
      <c r="A22" s="4" t="s">
        <v>55</v>
      </c>
      <c r="B22" s="4"/>
      <c r="C22" s="9" t="n">
        <v>27085.8</v>
      </c>
      <c r="D22" s="10" t="n">
        <f aca="false">C22/Basis!$B$5*Basis!$B$7</f>
        <v>940.479166666667</v>
      </c>
      <c r="E22" s="4" t="s">
        <v>38</v>
      </c>
    </row>
    <row r="23" customFormat="false" ht="15" hidden="false" customHeight="false" outlineLevel="0" collapsed="false">
      <c r="A23" s="4" t="s">
        <v>56</v>
      </c>
      <c r="B23" s="4"/>
      <c r="C23" s="9" t="n">
        <v>5083.2</v>
      </c>
      <c r="D23" s="10" t="n">
        <f aca="false">C23/Basis!$B$5*Basis!$B$7</f>
        <v>176.5</v>
      </c>
      <c r="E23" s="4" t="s">
        <v>38</v>
      </c>
    </row>
    <row r="24" customFormat="false" ht="15" hidden="false" customHeight="false" outlineLevel="0" collapsed="false">
      <c r="A24" s="4" t="s">
        <v>57</v>
      </c>
      <c r="B24" s="4"/>
      <c r="C24" s="9" t="n">
        <v>104.01</v>
      </c>
      <c r="D24" s="10" t="n">
        <f aca="false">C24/Basis!$B$5*Basis!$B$7</f>
        <v>3.61145833333333</v>
      </c>
      <c r="E24" s="4" t="s">
        <v>38</v>
      </c>
    </row>
    <row r="25" customFormat="false" ht="15" hidden="false" customHeight="false" outlineLevel="0" collapsed="false">
      <c r="A25" s="4" t="s">
        <v>58</v>
      </c>
      <c r="B25" s="4"/>
      <c r="C25" s="9" t="n">
        <v>983.8</v>
      </c>
      <c r="D25" s="10" t="n">
        <f aca="false">C25/Basis!$B$5*Basis!$B$7</f>
        <v>34.1597222222222</v>
      </c>
      <c r="E25" s="4" t="s">
        <v>40</v>
      </c>
    </row>
    <row r="26" customFormat="false" ht="15" hidden="false" customHeight="false" outlineLevel="0" collapsed="false">
      <c r="A26" s="4" t="s">
        <v>59</v>
      </c>
      <c r="B26" s="4"/>
      <c r="C26" s="9" t="n">
        <v>3532.02</v>
      </c>
      <c r="D26" s="10" t="n">
        <f aca="false">C26/Basis!$B$5*Basis!$B$7</f>
        <v>122.639583333333</v>
      </c>
      <c r="E26" s="4" t="s">
        <v>38</v>
      </c>
    </row>
    <row r="27" customFormat="false" ht="15" hidden="false" customHeight="false" outlineLevel="0" collapsed="false">
      <c r="A27" s="4" t="s">
        <v>60</v>
      </c>
      <c r="B27" s="4"/>
      <c r="C27" s="9" t="n">
        <v>8600.43</v>
      </c>
      <c r="D27" s="10" t="n">
        <f aca="false">C27/Basis!$B$5*Basis!$B$7</f>
        <v>298.626041666667</v>
      </c>
      <c r="E27" s="4" t="s">
        <v>50</v>
      </c>
    </row>
    <row r="28" customFormat="false" ht="15" hidden="false" customHeight="false" outlineLevel="0" collapsed="false">
      <c r="A28" s="4" t="s">
        <v>61</v>
      </c>
      <c r="B28" s="4"/>
      <c r="C28" s="9" t="n">
        <v>137</v>
      </c>
      <c r="D28" s="10" t="n">
        <f aca="false">C28/Basis!$B$5*Basis!$B$7</f>
        <v>4.75694444444445</v>
      </c>
      <c r="E28" s="4" t="s">
        <v>50</v>
      </c>
    </row>
    <row r="30" customFormat="false" ht="15" hidden="false" customHeight="false" outlineLevel="0" collapsed="false">
      <c r="A30" s="14" t="s">
        <v>62</v>
      </c>
      <c r="C30" s="15" t="n">
        <f aca="false">C9-C20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7"/>
    <col collapsed="false" customWidth="true" hidden="false" outlineLevel="0" max="5" min="4" style="0" width="9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46"/>
  </cols>
  <sheetData>
    <row r="1" customFormat="false" ht="16.1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23.85" hidden="false" customHeight="false" outlineLevel="0" collapsed="false">
      <c r="A4" s="3" t="s">
        <v>65</v>
      </c>
      <c r="B4" s="3" t="s">
        <v>20</v>
      </c>
      <c r="C4" s="3" t="s">
        <v>66</v>
      </c>
      <c r="D4" s="3" t="s">
        <v>67</v>
      </c>
      <c r="E4" s="3" t="s">
        <v>68</v>
      </c>
      <c r="F4" s="3" t="s">
        <v>69</v>
      </c>
      <c r="G4" s="3" t="s">
        <v>70</v>
      </c>
      <c r="H4" s="3" t="s">
        <v>71</v>
      </c>
      <c r="I4" s="3" t="s">
        <v>72</v>
      </c>
      <c r="J4" s="3" t="s">
        <v>73</v>
      </c>
      <c r="K4" s="3" t="s">
        <v>74</v>
      </c>
    </row>
    <row r="5" customFormat="false" ht="15" hidden="false" customHeight="false" outlineLevel="0" collapsed="false">
      <c r="A5" s="7" t="s">
        <v>75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false" outlineLevel="0" collapsed="false">
      <c r="A6" s="4" t="s">
        <v>76</v>
      </c>
      <c r="B6" s="4" t="s">
        <v>77</v>
      </c>
      <c r="C6" s="4" t="s">
        <v>78</v>
      </c>
      <c r="D6" s="16" t="n">
        <v>4</v>
      </c>
      <c r="E6" s="16" t="n">
        <v>75</v>
      </c>
      <c r="F6" s="9" t="n">
        <v>2199.7</v>
      </c>
      <c r="G6" s="17" t="n">
        <f aca="false">F6/Basis!$B$5*Basis!$B$7</f>
        <v>76.3784722222222</v>
      </c>
      <c r="H6" s="18" t="n">
        <f aca="false">G6/ABS(E6-D6)</f>
        <v>1.07575312989045</v>
      </c>
      <c r="I6" s="16" t="n">
        <v>5</v>
      </c>
      <c r="J6" s="19" t="n">
        <f aca="false">Basis!$B$6</f>
        <v>8760</v>
      </c>
      <c r="K6" s="4" t="s">
        <v>79</v>
      </c>
    </row>
    <row r="7" customFormat="false" ht="15" hidden="false" customHeight="false" outlineLevel="0" collapsed="false">
      <c r="A7" s="4" t="s">
        <v>80</v>
      </c>
      <c r="B7" s="4" t="s">
        <v>81</v>
      </c>
      <c r="C7" s="4" t="s">
        <v>78</v>
      </c>
      <c r="D7" s="16" t="n">
        <v>4</v>
      </c>
      <c r="E7" s="16" t="n">
        <v>70.2</v>
      </c>
      <c r="F7" s="9" t="n">
        <v>1301.6</v>
      </c>
      <c r="G7" s="17" t="n">
        <f aca="false">F7/Basis!$B$5*Basis!$B$7</f>
        <v>45.1944444444444</v>
      </c>
      <c r="H7" s="18" t="n">
        <f aca="false">G7/ABS(E7-D7)</f>
        <v>0.682695535414569</v>
      </c>
      <c r="I7" s="16" t="n">
        <v>5</v>
      </c>
      <c r="J7" s="19" t="n">
        <f aca="false">Basis!$B$6</f>
        <v>8760</v>
      </c>
      <c r="K7" s="4" t="s">
        <v>82</v>
      </c>
    </row>
    <row r="8" customFormat="false" ht="15" hidden="false" customHeight="false" outlineLevel="0" collapsed="false">
      <c r="A8" s="4" t="s">
        <v>83</v>
      </c>
      <c r="B8" s="4" t="s">
        <v>84</v>
      </c>
      <c r="C8" s="4" t="s">
        <v>78</v>
      </c>
      <c r="D8" s="16" t="n">
        <v>70.2</v>
      </c>
      <c r="E8" s="16" t="n">
        <v>70.3</v>
      </c>
      <c r="F8" s="9" t="n">
        <v>3514</v>
      </c>
      <c r="G8" s="17" t="n">
        <f aca="false">F8/Basis!$B$5*Basis!$B$7</f>
        <v>122.013888888889</v>
      </c>
      <c r="H8" s="18" t="n">
        <f aca="false">G8/ABS(E8-D8)</f>
        <v>1220.13888888896</v>
      </c>
      <c r="I8" s="16" t="n">
        <v>2</v>
      </c>
      <c r="J8" s="19" t="n">
        <f aca="false">Basis!$B$6</f>
        <v>8760</v>
      </c>
      <c r="K8" s="4" t="s">
        <v>85</v>
      </c>
    </row>
    <row r="9" customFormat="false" ht="15" hidden="false" customHeight="false" outlineLevel="0" collapsed="false">
      <c r="A9" s="4" t="s">
        <v>86</v>
      </c>
      <c r="B9" s="4" t="s">
        <v>87</v>
      </c>
      <c r="C9" s="4" t="s">
        <v>78</v>
      </c>
      <c r="D9" s="16" t="n">
        <v>65.3</v>
      </c>
      <c r="E9" s="16" t="n">
        <v>65.6</v>
      </c>
      <c r="F9" s="9" t="n">
        <v>2946.8</v>
      </c>
      <c r="G9" s="17" t="n">
        <f aca="false">F9/Basis!$B$5*Basis!$B$7</f>
        <v>102.319444444444</v>
      </c>
      <c r="H9" s="18" t="n">
        <f aca="false">G9/ABS(E9-D9)</f>
        <v>341.064814814818</v>
      </c>
      <c r="I9" s="16" t="n">
        <v>2</v>
      </c>
      <c r="J9" s="19" t="n">
        <f aca="false">Basis!$B$6</f>
        <v>8760</v>
      </c>
      <c r="K9" s="4" t="s">
        <v>88</v>
      </c>
    </row>
    <row r="10" customFormat="false" ht="15" hidden="false" customHeight="false" outlineLevel="0" collapsed="false">
      <c r="A10" s="4" t="s">
        <v>89</v>
      </c>
      <c r="B10" s="4" t="s">
        <v>90</v>
      </c>
      <c r="C10" s="4" t="s">
        <v>78</v>
      </c>
      <c r="D10" s="16" t="n">
        <v>60.7</v>
      </c>
      <c r="E10" s="16" t="n">
        <v>61.3</v>
      </c>
      <c r="F10" s="9" t="n">
        <v>1851.1</v>
      </c>
      <c r="G10" s="17" t="n">
        <f aca="false">F10/Basis!$B$5*Basis!$B$7</f>
        <v>64.2743055555556</v>
      </c>
      <c r="H10" s="18" t="n">
        <f aca="false">G10/ABS(E10-D10)</f>
        <v>107.123842592594</v>
      </c>
      <c r="I10" s="16" t="n">
        <v>2</v>
      </c>
      <c r="J10" s="19" t="n">
        <f aca="false">Basis!$B$6</f>
        <v>8760</v>
      </c>
      <c r="K10" s="4" t="s">
        <v>91</v>
      </c>
    </row>
    <row r="11" customFormat="false" ht="15" hidden="false" customHeight="false" outlineLevel="0" collapsed="false">
      <c r="A11" s="4" t="s">
        <v>92</v>
      </c>
      <c r="B11" s="4" t="s">
        <v>93</v>
      </c>
      <c r="C11" s="4" t="s">
        <v>78</v>
      </c>
      <c r="D11" s="16" t="n">
        <v>4</v>
      </c>
      <c r="E11" s="16" t="n">
        <v>56</v>
      </c>
      <c r="F11" s="9" t="n">
        <v>238.2</v>
      </c>
      <c r="G11" s="17" t="n">
        <f aca="false">F11/Basis!$B$5*Basis!$B$7</f>
        <v>8.27083333333333</v>
      </c>
      <c r="H11" s="18" t="n">
        <f aca="false">G11/ABS(E11-D11)</f>
        <v>0.159054487179487</v>
      </c>
      <c r="I11" s="16" t="n">
        <v>5</v>
      </c>
      <c r="J11" s="19" t="n">
        <f aca="false">Basis!$B$6</f>
        <v>8760</v>
      </c>
      <c r="K11" s="4" t="s">
        <v>94</v>
      </c>
    </row>
    <row r="12" customFormat="false" ht="15" hidden="false" customHeight="false" outlineLevel="0" collapsed="false">
      <c r="A12" s="4" t="s">
        <v>95</v>
      </c>
      <c r="B12" s="4" t="s">
        <v>96</v>
      </c>
      <c r="C12" s="4" t="s">
        <v>78</v>
      </c>
      <c r="D12" s="16" t="n">
        <v>12</v>
      </c>
      <c r="E12" s="16" t="n">
        <v>15.2</v>
      </c>
      <c r="F12" s="9" t="n">
        <v>3.3</v>
      </c>
      <c r="G12" s="17" t="n">
        <f aca="false">F12/Basis!$B$5*Basis!$B$7</f>
        <v>0.114583333333333</v>
      </c>
      <c r="H12" s="18" t="n">
        <f aca="false">G12/ABS(E12-D12)</f>
        <v>0.0358072916666667</v>
      </c>
      <c r="I12" s="16" t="n">
        <v>5</v>
      </c>
      <c r="J12" s="19" t="n">
        <f aca="false">Basis!$B$6</f>
        <v>8760</v>
      </c>
      <c r="K12" s="4" t="s">
        <v>97</v>
      </c>
    </row>
    <row r="13" customFormat="false" ht="15" hidden="false" customHeight="false" outlineLevel="0" collapsed="false">
      <c r="A13" s="4" t="s">
        <v>98</v>
      </c>
      <c r="B13" s="4" t="s">
        <v>99</v>
      </c>
      <c r="C13" s="4" t="s">
        <v>78</v>
      </c>
      <c r="D13" s="16" t="n">
        <v>25</v>
      </c>
      <c r="E13" s="16" t="n">
        <v>60</v>
      </c>
      <c r="F13" s="9" t="n">
        <v>175.7</v>
      </c>
      <c r="G13" s="17" t="n">
        <f aca="false">F13/Basis!$B$5*Basis!$B$7</f>
        <v>6.10069444444444</v>
      </c>
      <c r="H13" s="18" t="n">
        <f aca="false">G13/ABS(E13-D13)</f>
        <v>0.174305555555556</v>
      </c>
      <c r="I13" s="16" t="n">
        <v>5</v>
      </c>
      <c r="J13" s="19" t="n">
        <f aca="false">Basis!$B$6</f>
        <v>8760</v>
      </c>
      <c r="K13" s="4" t="s">
        <v>100</v>
      </c>
    </row>
    <row r="14" customFormat="false" ht="15" hidden="false" customHeight="false" outlineLevel="0" collapsed="false">
      <c r="A14" s="4" t="s">
        <v>101</v>
      </c>
      <c r="B14" s="4" t="s">
        <v>102</v>
      </c>
      <c r="C14" s="4" t="s">
        <v>78</v>
      </c>
      <c r="D14" s="16" t="n">
        <v>60</v>
      </c>
      <c r="E14" s="16" t="n">
        <v>80</v>
      </c>
      <c r="F14" s="9" t="n">
        <v>334.9</v>
      </c>
      <c r="G14" s="17" t="n">
        <f aca="false">F14/Basis!$B$5*Basis!$B$7</f>
        <v>11.6284722222222</v>
      </c>
      <c r="H14" s="18" t="n">
        <f aca="false">G14/ABS(E14-D14)</f>
        <v>0.581423611111111</v>
      </c>
      <c r="I14" s="16" t="n">
        <v>5</v>
      </c>
      <c r="J14" s="19" t="n">
        <f aca="false">Basis!$B$6</f>
        <v>8760</v>
      </c>
      <c r="K14" s="4" t="s">
        <v>103</v>
      </c>
    </row>
    <row r="15" customFormat="false" ht="15" hidden="false" customHeight="false" outlineLevel="0" collapsed="false">
      <c r="A15" s="4" t="s">
        <v>104</v>
      </c>
      <c r="B15" s="4" t="s">
        <v>105</v>
      </c>
      <c r="C15" s="4" t="s">
        <v>78</v>
      </c>
      <c r="D15" s="16" t="n">
        <v>20</v>
      </c>
      <c r="E15" s="16" t="n">
        <v>55</v>
      </c>
      <c r="F15" s="9" t="n">
        <v>322.3</v>
      </c>
      <c r="G15" s="17" t="n">
        <f aca="false">F15/Basis!$B$5*Basis!$B$7</f>
        <v>11.1909722222222</v>
      </c>
      <c r="H15" s="18" t="n">
        <f aca="false">G15/ABS(E15-D15)</f>
        <v>0.319742063492064</v>
      </c>
      <c r="I15" s="16" t="n">
        <v>5</v>
      </c>
      <c r="J15" s="19" t="n">
        <f aca="false">Basis!$B$6</f>
        <v>8760</v>
      </c>
      <c r="K15" s="4" t="s">
        <v>106</v>
      </c>
    </row>
    <row r="16" customFormat="false" ht="15" hidden="false" customHeight="false" outlineLevel="0" collapsed="false">
      <c r="A16" s="4" t="s">
        <v>107</v>
      </c>
      <c r="B16" s="4" t="s">
        <v>108</v>
      </c>
      <c r="C16" s="4" t="s">
        <v>78</v>
      </c>
      <c r="D16" s="16" t="n">
        <v>55</v>
      </c>
      <c r="E16" s="16" t="n">
        <v>55.1</v>
      </c>
      <c r="F16" s="9" t="n">
        <v>164.9</v>
      </c>
      <c r="G16" s="17" t="n">
        <f aca="false">F16/Basis!$B$5*Basis!$B$7</f>
        <v>5.72569444444445</v>
      </c>
      <c r="H16" s="18" t="n">
        <f aca="false">G16/ABS(E16-D16)</f>
        <v>57.2569444444436</v>
      </c>
      <c r="I16" s="16" t="n">
        <v>5</v>
      </c>
      <c r="J16" s="19" t="n">
        <f aca="false">Basis!$B$6</f>
        <v>8760</v>
      </c>
      <c r="K16" s="4" t="s">
        <v>109</v>
      </c>
    </row>
    <row r="17" customFormat="false" ht="15" hidden="false" customHeight="false" outlineLevel="0" collapsed="false">
      <c r="A17" s="4" t="s">
        <v>110</v>
      </c>
      <c r="B17" s="4" t="s">
        <v>111</v>
      </c>
      <c r="C17" s="4" t="s">
        <v>78</v>
      </c>
      <c r="D17" s="16" t="n">
        <v>55</v>
      </c>
      <c r="E17" s="16" t="n">
        <v>95</v>
      </c>
      <c r="F17" s="9" t="n">
        <v>135.8</v>
      </c>
      <c r="G17" s="17" t="n">
        <f aca="false">F17/Basis!$B$5*Basis!$B$7</f>
        <v>4.71527777777778</v>
      </c>
      <c r="H17" s="18" t="n">
        <f aca="false">G17/ABS(E17-D17)</f>
        <v>0.117881944444444</v>
      </c>
      <c r="I17" s="16" t="n">
        <v>5</v>
      </c>
      <c r="J17" s="19" t="n">
        <f aca="false">Basis!$B$6</f>
        <v>8760</v>
      </c>
      <c r="K17" s="4" t="s">
        <v>112</v>
      </c>
    </row>
    <row r="18" customFormat="false" ht="15" hidden="false" customHeight="false" outlineLevel="0" collapsed="false">
      <c r="A18" s="4" t="s">
        <v>113</v>
      </c>
      <c r="B18" s="4" t="s">
        <v>114</v>
      </c>
      <c r="C18" s="4" t="s">
        <v>78</v>
      </c>
      <c r="D18" s="16" t="n">
        <v>100</v>
      </c>
      <c r="E18" s="16" t="n">
        <v>100.1</v>
      </c>
      <c r="F18" s="9" t="n">
        <v>2331.43</v>
      </c>
      <c r="G18" s="17" t="n">
        <f aca="false">F18/Basis!$B$5*Basis!$B$7</f>
        <v>80.9524305555556</v>
      </c>
      <c r="H18" s="18" t="n">
        <f aca="false">G18/ABS(E18-D18)</f>
        <v>809.524305555602</v>
      </c>
      <c r="I18" s="16" t="n">
        <v>2.5</v>
      </c>
      <c r="J18" s="19" t="n">
        <f aca="false">Basis!$B$6</f>
        <v>8760</v>
      </c>
      <c r="K18" s="4" t="s">
        <v>115</v>
      </c>
    </row>
    <row r="19" customFormat="false" ht="15" hidden="false" customHeight="false" outlineLevel="0" collapsed="false">
      <c r="A19" s="12"/>
      <c r="B19" s="11" t="s">
        <v>116</v>
      </c>
      <c r="C19" s="12"/>
      <c r="D19" s="12"/>
      <c r="E19" s="12"/>
      <c r="F19" s="20" t="n">
        <f aca="false">SUM(F6:F18)</f>
        <v>15519.73</v>
      </c>
      <c r="G19" s="21" t="n">
        <f aca="false">SUM(G6:G18)</f>
        <v>538.879513888889</v>
      </c>
      <c r="H19" s="12"/>
      <c r="I19" s="12"/>
      <c r="J19" s="12"/>
      <c r="K19" s="12"/>
    </row>
    <row r="20" customFormat="false" ht="15" hidden="false" customHeight="false" outlineLevel="0" collapsed="false">
      <c r="A20" s="7" t="s">
        <v>117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customFormat="false" ht="15" hidden="false" customHeight="false" outlineLevel="0" collapsed="false">
      <c r="A21" s="4" t="s">
        <v>118</v>
      </c>
      <c r="B21" s="4" t="s">
        <v>119</v>
      </c>
      <c r="C21" s="4" t="s">
        <v>120</v>
      </c>
      <c r="D21" s="16" t="n">
        <v>6</v>
      </c>
      <c r="E21" s="16" t="n">
        <v>4</v>
      </c>
      <c r="F21" s="9" t="n">
        <v>62.9</v>
      </c>
      <c r="G21" s="17" t="n">
        <f aca="false">F21/Basis!$B$5*Basis!$B$7</f>
        <v>2.18402777777778</v>
      </c>
      <c r="H21" s="18" t="n">
        <f aca="false">G21/ABS(E21-D21)</f>
        <v>1.09201388888889</v>
      </c>
      <c r="I21" s="16" t="n">
        <v>5</v>
      </c>
      <c r="J21" s="19" t="n">
        <f aca="false">Basis!$B$6</f>
        <v>8760</v>
      </c>
      <c r="K21" s="4" t="s">
        <v>121</v>
      </c>
    </row>
    <row r="22" customFormat="false" ht="15" hidden="false" customHeight="false" outlineLevel="0" collapsed="false">
      <c r="A22" s="4" t="s">
        <v>122</v>
      </c>
      <c r="B22" s="4" t="s">
        <v>123</v>
      </c>
      <c r="C22" s="4" t="s">
        <v>120</v>
      </c>
      <c r="D22" s="16" t="n">
        <v>75</v>
      </c>
      <c r="E22" s="16" t="n">
        <v>4</v>
      </c>
      <c r="F22" s="9" t="n">
        <v>2106.1</v>
      </c>
      <c r="G22" s="17" t="n">
        <f aca="false">F22/Basis!$B$5*Basis!$B$7</f>
        <v>73.1284722222222</v>
      </c>
      <c r="H22" s="18" t="n">
        <f aca="false">G22/ABS(E22-D22)</f>
        <v>1.02997848200313</v>
      </c>
      <c r="I22" s="16" t="n">
        <v>5</v>
      </c>
      <c r="J22" s="19" t="n">
        <f aca="false">Basis!$B$6</f>
        <v>8760</v>
      </c>
      <c r="K22" s="4" t="s">
        <v>124</v>
      </c>
    </row>
    <row r="23" customFormat="false" ht="15" hidden="false" customHeight="false" outlineLevel="0" collapsed="false">
      <c r="A23" s="4" t="s">
        <v>125</v>
      </c>
      <c r="B23" s="4" t="s">
        <v>126</v>
      </c>
      <c r="C23" s="4" t="s">
        <v>120</v>
      </c>
      <c r="D23" s="16" t="n">
        <v>70.2</v>
      </c>
      <c r="E23" s="16" t="n">
        <v>69.1</v>
      </c>
      <c r="F23" s="9" t="n">
        <v>3517.8</v>
      </c>
      <c r="G23" s="17" t="n">
        <f aca="false">F23/Basis!$B$5*Basis!$B$7</f>
        <v>122.145833333333</v>
      </c>
      <c r="H23" s="18" t="n">
        <f aca="false">G23/ABS(E23-D23)</f>
        <v>111.041666666666</v>
      </c>
      <c r="I23" s="16" t="n">
        <v>2</v>
      </c>
      <c r="J23" s="19" t="n">
        <f aca="false">Basis!$B$6</f>
        <v>8760</v>
      </c>
      <c r="K23" s="4" t="s">
        <v>127</v>
      </c>
    </row>
    <row r="24" customFormat="false" ht="15" hidden="false" customHeight="false" outlineLevel="0" collapsed="false">
      <c r="A24" s="4" t="s">
        <v>128</v>
      </c>
      <c r="B24" s="4" t="s">
        <v>129</v>
      </c>
      <c r="C24" s="4" t="s">
        <v>120</v>
      </c>
      <c r="D24" s="16" t="n">
        <v>65.6</v>
      </c>
      <c r="E24" s="16" t="n">
        <v>65</v>
      </c>
      <c r="F24" s="9" t="n">
        <v>3011.9</v>
      </c>
      <c r="G24" s="17" t="n">
        <f aca="false">F24/Basis!$B$5*Basis!$B$7</f>
        <v>104.579861111111</v>
      </c>
      <c r="H24" s="18" t="n">
        <f aca="false">G24/ABS(E24-D24)</f>
        <v>174.29976851852</v>
      </c>
      <c r="I24" s="16" t="n">
        <v>2</v>
      </c>
      <c r="J24" s="19" t="n">
        <f aca="false">Basis!$B$6</f>
        <v>8760</v>
      </c>
      <c r="K24" s="4" t="s">
        <v>130</v>
      </c>
    </row>
    <row r="25" customFormat="false" ht="15" hidden="false" customHeight="false" outlineLevel="0" collapsed="false">
      <c r="A25" s="4" t="s">
        <v>131</v>
      </c>
      <c r="B25" s="4" t="s">
        <v>132</v>
      </c>
      <c r="C25" s="4" t="s">
        <v>120</v>
      </c>
      <c r="D25" s="16" t="n">
        <v>61.3</v>
      </c>
      <c r="E25" s="16" t="n">
        <v>60.1</v>
      </c>
      <c r="F25" s="9" t="n">
        <v>1889.5</v>
      </c>
      <c r="G25" s="17" t="n">
        <f aca="false">F25/Basis!$B$5*Basis!$B$7</f>
        <v>65.6076388888889</v>
      </c>
      <c r="H25" s="18" t="n">
        <f aca="false">G25/ABS(E25-D25)</f>
        <v>54.6730324074076</v>
      </c>
      <c r="I25" s="16" t="n">
        <v>2</v>
      </c>
      <c r="J25" s="19" t="n">
        <f aca="false">Basis!$B$6</f>
        <v>8760</v>
      </c>
      <c r="K25" s="4" t="s">
        <v>133</v>
      </c>
    </row>
    <row r="26" customFormat="false" ht="15" hidden="false" customHeight="false" outlineLevel="0" collapsed="false">
      <c r="A26" s="4" t="s">
        <v>134</v>
      </c>
      <c r="B26" s="4" t="s">
        <v>135</v>
      </c>
      <c r="C26" s="4" t="s">
        <v>120</v>
      </c>
      <c r="D26" s="16" t="n">
        <v>69.9</v>
      </c>
      <c r="E26" s="16" t="n">
        <v>25</v>
      </c>
      <c r="F26" s="9" t="n">
        <v>610.2</v>
      </c>
      <c r="G26" s="17" t="n">
        <f aca="false">F26/Basis!$B$5*Basis!$B$7</f>
        <v>21.1875</v>
      </c>
      <c r="H26" s="18" t="n">
        <f aca="false">G26/ABS(E26-D26)</f>
        <v>0.471881959910913</v>
      </c>
      <c r="I26" s="16" t="n">
        <v>5</v>
      </c>
      <c r="J26" s="19" t="n">
        <f aca="false">Basis!$B$6</f>
        <v>8760</v>
      </c>
      <c r="K26" s="4" t="s">
        <v>136</v>
      </c>
    </row>
    <row r="27" customFormat="false" ht="15" hidden="false" customHeight="false" outlineLevel="0" collapsed="false">
      <c r="A27" s="4" t="s">
        <v>137</v>
      </c>
      <c r="B27" s="4" t="s">
        <v>138</v>
      </c>
      <c r="C27" s="4" t="s">
        <v>120</v>
      </c>
      <c r="D27" s="16" t="n">
        <v>61.3</v>
      </c>
      <c r="E27" s="16" t="n">
        <v>4</v>
      </c>
      <c r="F27" s="9" t="n">
        <v>268.3</v>
      </c>
      <c r="G27" s="17" t="n">
        <f aca="false">F27/Basis!$B$5*Basis!$B$7</f>
        <v>9.31597222222222</v>
      </c>
      <c r="H27" s="18" t="n">
        <f aca="false">G27/ABS(E27-D27)</f>
        <v>0.162582412255187</v>
      </c>
      <c r="I27" s="16" t="n">
        <v>5</v>
      </c>
      <c r="J27" s="19" t="n">
        <f aca="false">Basis!$B$6</f>
        <v>8760</v>
      </c>
      <c r="K27" s="4" t="s">
        <v>139</v>
      </c>
    </row>
    <row r="28" customFormat="false" ht="15" hidden="false" customHeight="false" outlineLevel="0" collapsed="false">
      <c r="A28" s="4" t="s">
        <v>140</v>
      </c>
      <c r="B28" s="4" t="s">
        <v>141</v>
      </c>
      <c r="C28" s="4" t="s">
        <v>120</v>
      </c>
      <c r="D28" s="16" t="n">
        <v>56</v>
      </c>
      <c r="E28" s="16" t="n">
        <v>16</v>
      </c>
      <c r="F28" s="9" t="n">
        <v>63</v>
      </c>
      <c r="G28" s="17" t="n">
        <f aca="false">F28/Basis!$B$5*Basis!$B$7</f>
        <v>2.1875</v>
      </c>
      <c r="H28" s="18" t="n">
        <f aca="false">G28/ABS(E28-D28)</f>
        <v>0.0546875</v>
      </c>
      <c r="I28" s="16" t="n">
        <v>5</v>
      </c>
      <c r="J28" s="19" t="n">
        <f aca="false">Basis!$B$6</f>
        <v>8760</v>
      </c>
      <c r="K28" s="4" t="s">
        <v>142</v>
      </c>
    </row>
    <row r="29" customFormat="false" ht="15" hidden="false" customHeight="false" outlineLevel="0" collapsed="false">
      <c r="A29" s="4" t="s">
        <v>143</v>
      </c>
      <c r="B29" s="4" t="s">
        <v>144</v>
      </c>
      <c r="C29" s="4" t="s">
        <v>120</v>
      </c>
      <c r="D29" s="16" t="n">
        <v>25</v>
      </c>
      <c r="E29" s="16" t="n">
        <v>13</v>
      </c>
      <c r="F29" s="9" t="n">
        <v>9.4</v>
      </c>
      <c r="G29" s="17" t="n">
        <f aca="false">F29/Basis!$B$5*Basis!$B$7</f>
        <v>0.326388888888889</v>
      </c>
      <c r="H29" s="18" t="n">
        <f aca="false">G29/ABS(E29-D29)</f>
        <v>0.0271990740740741</v>
      </c>
      <c r="I29" s="16" t="n">
        <v>5</v>
      </c>
      <c r="J29" s="19" t="n">
        <f aca="false">Basis!$B$6</f>
        <v>8760</v>
      </c>
      <c r="K29" s="4" t="s">
        <v>145</v>
      </c>
    </row>
    <row r="30" customFormat="false" ht="15" hidden="false" customHeight="false" outlineLevel="0" collapsed="false">
      <c r="A30" s="4" t="s">
        <v>146</v>
      </c>
      <c r="B30" s="4" t="s">
        <v>147</v>
      </c>
      <c r="C30" s="4" t="s">
        <v>120</v>
      </c>
      <c r="D30" s="16" t="n">
        <v>80</v>
      </c>
      <c r="E30" s="16" t="n">
        <v>75</v>
      </c>
      <c r="F30" s="9" t="n">
        <v>83.8</v>
      </c>
      <c r="G30" s="17" t="n">
        <f aca="false">F30/Basis!$B$5*Basis!$B$7</f>
        <v>2.90972222222222</v>
      </c>
      <c r="H30" s="18" t="n">
        <f aca="false">G30/ABS(E30-D30)</f>
        <v>0.581944444444444</v>
      </c>
      <c r="I30" s="16" t="n">
        <v>5</v>
      </c>
      <c r="J30" s="19" t="n">
        <f aca="false">Basis!$B$6</f>
        <v>8760</v>
      </c>
      <c r="K30" s="4" t="s">
        <v>148</v>
      </c>
    </row>
    <row r="31" customFormat="false" ht="15" hidden="false" customHeight="false" outlineLevel="0" collapsed="false">
      <c r="A31" s="4" t="s">
        <v>149</v>
      </c>
      <c r="B31" s="4" t="s">
        <v>150</v>
      </c>
      <c r="C31" s="4" t="s">
        <v>120</v>
      </c>
      <c r="D31" s="16" t="n">
        <v>75</v>
      </c>
      <c r="E31" s="16" t="n">
        <v>60</v>
      </c>
      <c r="F31" s="9" t="n">
        <v>175.9</v>
      </c>
      <c r="G31" s="17" t="n">
        <f aca="false">F31/Basis!$B$5*Basis!$B$7</f>
        <v>6.10763888888889</v>
      </c>
      <c r="H31" s="18" t="n">
        <f aca="false">G31/ABS(E31-D31)</f>
        <v>0.407175925925926</v>
      </c>
      <c r="I31" s="16" t="n">
        <v>5</v>
      </c>
      <c r="J31" s="19" t="n">
        <f aca="false">Basis!$B$6</f>
        <v>8760</v>
      </c>
      <c r="K31" s="4" t="s">
        <v>151</v>
      </c>
    </row>
    <row r="32" customFormat="false" ht="15" hidden="false" customHeight="false" outlineLevel="0" collapsed="false">
      <c r="A32" s="4" t="s">
        <v>152</v>
      </c>
      <c r="B32" s="4" t="s">
        <v>153</v>
      </c>
      <c r="C32" s="4" t="s">
        <v>120</v>
      </c>
      <c r="D32" s="16" t="n">
        <v>75</v>
      </c>
      <c r="E32" s="16" t="n">
        <v>30</v>
      </c>
      <c r="F32" s="9" t="n">
        <v>225.9</v>
      </c>
      <c r="G32" s="17" t="n">
        <f aca="false">F32/Basis!$B$5*Basis!$B$7</f>
        <v>7.84375</v>
      </c>
      <c r="H32" s="18" t="n">
        <f aca="false">G32/ABS(E32-D32)</f>
        <v>0.174305555555556</v>
      </c>
      <c r="I32" s="16" t="n">
        <v>5</v>
      </c>
      <c r="J32" s="19" t="n">
        <f aca="false">Basis!$B$6</f>
        <v>8760</v>
      </c>
      <c r="K32" s="4" t="s">
        <v>154</v>
      </c>
    </row>
    <row r="33" customFormat="false" ht="15" hidden="false" customHeight="false" outlineLevel="0" collapsed="false">
      <c r="A33" s="4" t="s">
        <v>155</v>
      </c>
      <c r="B33" s="4" t="s">
        <v>156</v>
      </c>
      <c r="C33" s="4" t="s">
        <v>120</v>
      </c>
      <c r="D33" s="16" t="n">
        <v>101</v>
      </c>
      <c r="E33" s="16" t="n">
        <v>100</v>
      </c>
      <c r="F33" s="9" t="n">
        <v>2331.43</v>
      </c>
      <c r="G33" s="17" t="n">
        <f aca="false">F33/Basis!$B$5*Basis!$B$7</f>
        <v>80.9524305555556</v>
      </c>
      <c r="H33" s="18" t="n">
        <f aca="false">G33/ABS(E33-D33)</f>
        <v>80.9524305555556</v>
      </c>
      <c r="I33" s="16" t="n">
        <v>2.5</v>
      </c>
      <c r="J33" s="19" t="n">
        <f aca="false">Basis!$B$6</f>
        <v>8760</v>
      </c>
      <c r="K33" s="4" t="s">
        <v>157</v>
      </c>
    </row>
    <row r="34" customFormat="false" ht="15" hidden="false" customHeight="false" outlineLevel="0" collapsed="false">
      <c r="A34" s="4" t="s">
        <v>158</v>
      </c>
      <c r="B34" s="4" t="s">
        <v>159</v>
      </c>
      <c r="C34" s="4" t="s">
        <v>120</v>
      </c>
      <c r="D34" s="16" t="n">
        <v>100</v>
      </c>
      <c r="E34" s="16" t="n">
        <v>25</v>
      </c>
      <c r="F34" s="9" t="n">
        <v>320.63</v>
      </c>
      <c r="G34" s="17" t="n">
        <f aca="false">F34/Basis!$B$5*Basis!$B$7</f>
        <v>11.1329861111111</v>
      </c>
      <c r="H34" s="18" t="n">
        <f aca="false">G34/ABS(E34-D34)</f>
        <v>0.148439814814815</v>
      </c>
      <c r="I34" s="16" t="n">
        <v>5</v>
      </c>
      <c r="J34" s="19" t="n">
        <f aca="false">Basis!$B$6</f>
        <v>8760</v>
      </c>
      <c r="K34" s="4" t="s">
        <v>160</v>
      </c>
    </row>
    <row r="35" customFormat="false" ht="15" hidden="false" customHeight="false" outlineLevel="0" collapsed="false">
      <c r="A35" s="12"/>
      <c r="B35" s="11" t="s">
        <v>161</v>
      </c>
      <c r="C35" s="12"/>
      <c r="D35" s="12"/>
      <c r="E35" s="12"/>
      <c r="F35" s="20" t="n">
        <f aca="false">SUM(F21:F34)</f>
        <v>14676.76</v>
      </c>
      <c r="G35" s="21" t="n">
        <f aca="false">SUM(G21:G34)</f>
        <v>509.609722222222</v>
      </c>
      <c r="H35" s="12"/>
      <c r="I35" s="12"/>
      <c r="J35" s="12"/>
      <c r="K35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62"/>
  </cols>
  <sheetData>
    <row r="1" customFormat="false" ht="16.15" hidden="false" customHeight="false" outlineLevel="0" collapsed="false">
      <c r="A1" s="1" t="s">
        <v>162</v>
      </c>
    </row>
    <row r="2" customFormat="false" ht="15" hidden="false" customHeight="false" outlineLevel="0" collapsed="false">
      <c r="A2" s="2" t="s">
        <v>163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164</v>
      </c>
      <c r="B5" s="16" t="n">
        <v>4.3</v>
      </c>
      <c r="C5" s="4" t="s">
        <v>165</v>
      </c>
      <c r="D5" s="4" t="s">
        <v>166</v>
      </c>
    </row>
    <row r="6" customFormat="false" ht="15" hidden="false" customHeight="false" outlineLevel="0" collapsed="false">
      <c r="A6" s="4" t="s">
        <v>167</v>
      </c>
      <c r="B6" s="16" t="n">
        <v>0.4</v>
      </c>
      <c r="C6" s="4" t="s">
        <v>168</v>
      </c>
      <c r="D6" s="4" t="s">
        <v>169</v>
      </c>
    </row>
    <row r="7" customFormat="false" ht="15" hidden="false" customHeight="false" outlineLevel="0" collapsed="false">
      <c r="A7" s="4" t="s">
        <v>170</v>
      </c>
      <c r="B7" s="16" t="n">
        <v>2.5</v>
      </c>
      <c r="C7" s="4" t="s">
        <v>168</v>
      </c>
      <c r="D7" s="4" t="s">
        <v>171</v>
      </c>
    </row>
    <row r="8" customFormat="false" ht="15" hidden="false" customHeight="false" outlineLevel="0" collapsed="false">
      <c r="A8" s="4" t="s">
        <v>172</v>
      </c>
      <c r="B8" s="16" t="n">
        <v>0.19</v>
      </c>
      <c r="C8" s="4" t="s">
        <v>168</v>
      </c>
      <c r="D8" s="4" t="s">
        <v>173</v>
      </c>
    </row>
    <row r="9" customFormat="false" ht="15" hidden="false" customHeight="false" outlineLevel="0" collapsed="false">
      <c r="A9" s="4" t="s">
        <v>174</v>
      </c>
      <c r="B9" s="16" t="n">
        <v>0.05</v>
      </c>
      <c r="C9" s="4" t="s">
        <v>168</v>
      </c>
      <c r="D9" s="4" t="s">
        <v>173</v>
      </c>
    </row>
    <row r="10" customFormat="false" ht="15" hidden="false" customHeight="false" outlineLevel="0" collapsed="false">
      <c r="A10" s="4" t="s">
        <v>175</v>
      </c>
      <c r="B10" s="22" t="n">
        <f aca="false">rs_mass!D12/1000</f>
        <v>0.0703090277777778</v>
      </c>
      <c r="C10" s="4" t="s">
        <v>7</v>
      </c>
      <c r="D10" s="4" t="s">
        <v>176</v>
      </c>
    </row>
    <row r="11" customFormat="false" ht="15" hidden="false" customHeight="false" outlineLevel="0" collapsed="false">
      <c r="A11" s="4" t="s">
        <v>177</v>
      </c>
      <c r="B11" s="23" t="n">
        <f aca="false">B5*B6/B7/3.6*1000</f>
        <v>191.111111111111</v>
      </c>
      <c r="C11" s="4" t="s">
        <v>178</v>
      </c>
      <c r="D11" s="12"/>
    </row>
    <row r="13" customFormat="false" ht="15" hidden="false" customHeight="false" outlineLevel="0" collapsed="false">
      <c r="A13" s="3" t="s">
        <v>179</v>
      </c>
      <c r="B13" s="3" t="s">
        <v>180</v>
      </c>
      <c r="C13" s="3" t="s">
        <v>181</v>
      </c>
      <c r="D13" s="3" t="s">
        <v>182</v>
      </c>
    </row>
    <row r="14" customFormat="false" ht="15" hidden="false" customHeight="false" outlineLevel="0" collapsed="false">
      <c r="A14" s="4" t="s">
        <v>183</v>
      </c>
      <c r="B14" s="24" t="n">
        <f aca="false">B5*(B6-B8-B9)/B7/3.6*1000*B10</f>
        <v>5.37473456790124</v>
      </c>
      <c r="C14" s="25" t="n">
        <f aca="false">B14*Basis!$B$5</f>
        <v>154.792355555556</v>
      </c>
      <c r="D14" s="4" t="s">
        <v>184</v>
      </c>
    </row>
    <row r="15" customFormat="false" ht="15" hidden="false" customHeight="false" outlineLevel="0" collapsed="false">
      <c r="A15" s="4" t="s">
        <v>185</v>
      </c>
      <c r="B15" s="24" t="n">
        <f aca="false">B5*B9/B7/3.6*1000*B10</f>
        <v>1.67960455246914</v>
      </c>
      <c r="C15" s="25" t="n">
        <f aca="false">B15*Basis!$B$5</f>
        <v>48.3726111111111</v>
      </c>
      <c r="D15" s="4" t="s">
        <v>186</v>
      </c>
    </row>
    <row r="16" customFormat="false" ht="15" hidden="false" customHeight="false" outlineLevel="0" collapsed="false">
      <c r="A16" s="11" t="s">
        <v>187</v>
      </c>
      <c r="B16" s="26" t="n">
        <f aca="false">B14+B15</f>
        <v>7.05433912037037</v>
      </c>
      <c r="C16" s="20" t="n">
        <f aca="false">B16*Basis!$B$5</f>
        <v>203.164966666667</v>
      </c>
      <c r="D16" s="4" t="s">
        <v>188</v>
      </c>
    </row>
    <row r="17" customFormat="false" ht="15" hidden="false" customHeight="false" outlineLevel="0" collapsed="false">
      <c r="A17" s="4" t="s">
        <v>189</v>
      </c>
      <c r="B17" s="24" t="n">
        <f aca="false">B5*B8/B7/3.6*1000*B10</f>
        <v>6.38249729938272</v>
      </c>
      <c r="C17" s="25" t="n">
        <f aca="false">B17*Basis!$B$5</f>
        <v>183.815922222222</v>
      </c>
      <c r="D17" s="4" t="s">
        <v>190</v>
      </c>
    </row>
    <row r="18" customFormat="false" ht="15" hidden="false" customHeight="false" outlineLevel="0" collapsed="false">
      <c r="A18" s="11" t="s">
        <v>191</v>
      </c>
      <c r="B18" s="12"/>
      <c r="C18" s="20" t="n">
        <f aca="false">C16*Basis!$B$6/1000</f>
        <v>1779.725108</v>
      </c>
      <c r="D18" s="12"/>
    </row>
    <row r="20" customFormat="false" ht="15" hidden="false" customHeight="false" outlineLevel="0" collapsed="false">
      <c r="A20" s="2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28"/>
    <col collapsed="false" customWidth="true" hidden="false" outlineLevel="0" max="4" min="4" style="0" width="40"/>
  </cols>
  <sheetData>
    <row r="1" customFormat="false" ht="16.15" hidden="false" customHeight="false" outlineLevel="0" collapsed="false">
      <c r="A1" s="1" t="s">
        <v>193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5" hidden="false" customHeight="false" outlineLevel="0" collapsed="false">
      <c r="A4" s="4" t="s">
        <v>194</v>
      </c>
      <c r="B4" s="16" t="n">
        <v>340.6</v>
      </c>
      <c r="C4" s="4" t="s">
        <v>195</v>
      </c>
      <c r="D4" s="4" t="s">
        <v>196</v>
      </c>
    </row>
    <row r="5" customFormat="false" ht="15" hidden="false" customHeight="false" outlineLevel="0" collapsed="false">
      <c r="A5" s="4" t="s">
        <v>197</v>
      </c>
      <c r="B5" s="16" t="n">
        <v>0.31</v>
      </c>
      <c r="C5" s="4" t="s">
        <v>198</v>
      </c>
      <c r="D5" s="4" t="s">
        <v>199</v>
      </c>
    </row>
    <row r="6" customFormat="false" ht="15" hidden="false" customHeight="false" outlineLevel="0" collapsed="false">
      <c r="A6" s="4" t="s">
        <v>200</v>
      </c>
      <c r="B6" s="16" t="n">
        <v>50000</v>
      </c>
      <c r="C6" s="4" t="s">
        <v>201</v>
      </c>
      <c r="D6" s="4" t="s">
        <v>202</v>
      </c>
    </row>
    <row r="7" customFormat="false" ht="15" hidden="false" customHeight="false" outlineLevel="0" collapsed="false">
      <c r="A7" s="4" t="s">
        <v>203</v>
      </c>
      <c r="B7" s="16" t="n">
        <v>0.4</v>
      </c>
      <c r="C7" s="4" t="s">
        <v>168</v>
      </c>
      <c r="D7" s="4" t="s">
        <v>204</v>
      </c>
    </row>
    <row r="8" customFormat="false" ht="15" hidden="false" customHeight="false" outlineLevel="0" collapsed="false">
      <c r="A8" s="4" t="s">
        <v>205</v>
      </c>
      <c r="B8" s="16" t="n">
        <v>0.22</v>
      </c>
      <c r="C8" s="4" t="s">
        <v>168</v>
      </c>
      <c r="D8" s="4" t="s">
        <v>204</v>
      </c>
    </row>
    <row r="9" customFormat="false" ht="15" hidden="false" customHeight="false" outlineLevel="0" collapsed="false">
      <c r="A9" s="4" t="s">
        <v>206</v>
      </c>
      <c r="B9" s="16" t="n">
        <v>0.25</v>
      </c>
      <c r="C9" s="4" t="s">
        <v>168</v>
      </c>
      <c r="D9" s="4" t="s">
        <v>204</v>
      </c>
    </row>
    <row r="10" customFormat="false" ht="15" hidden="false" customHeight="false" outlineLevel="0" collapsed="false">
      <c r="A10" s="4" t="s">
        <v>207</v>
      </c>
      <c r="B10" s="16" t="n">
        <v>0.21</v>
      </c>
      <c r="C10" s="4" t="s">
        <v>208</v>
      </c>
      <c r="D10" s="4" t="s">
        <v>209</v>
      </c>
    </row>
    <row r="11" customFormat="false" ht="15" hidden="false" customHeight="false" outlineLevel="0" collapsed="false">
      <c r="A11" s="4" t="s">
        <v>210</v>
      </c>
      <c r="B11" s="16" t="n">
        <v>0.89</v>
      </c>
      <c r="C11" s="4" t="s">
        <v>211</v>
      </c>
      <c r="D11" s="4" t="s">
        <v>204</v>
      </c>
    </row>
    <row r="13" customFormat="false" ht="23.85" hidden="false" customHeight="false" outlineLevel="0" collapsed="false">
      <c r="A13" s="3" t="s">
        <v>212</v>
      </c>
      <c r="B13" s="3" t="s">
        <v>213</v>
      </c>
      <c r="C13" s="3" t="s">
        <v>214</v>
      </c>
      <c r="D13" s="3"/>
    </row>
    <row r="14" customFormat="false" ht="15" hidden="false" customHeight="false" outlineLevel="0" collapsed="false">
      <c r="A14" s="4" t="s">
        <v>215</v>
      </c>
      <c r="B14" s="24" t="n">
        <f aca="false">B4/Basis!$B$5*Basis!$B$7</f>
        <v>11.8263888888889</v>
      </c>
      <c r="C14" s="24" t="n">
        <f aca="false">B4/Basis!$B$5*Basis!$B$7</f>
        <v>11.8263888888889</v>
      </c>
    </row>
    <row r="15" customFormat="false" ht="15" hidden="false" customHeight="false" outlineLevel="0" collapsed="false">
      <c r="A15" s="4" t="s">
        <v>216</v>
      </c>
      <c r="B15" s="24" t="n">
        <f aca="false">B4/Basis!$B$5*Basis!$B$7*B5*B6/3600</f>
        <v>50.9191743827161</v>
      </c>
      <c r="C15" s="24" t="n">
        <f aca="false">B4/Basis!$B$5*Basis!$B$7*B5*B6/3600</f>
        <v>50.9191743827161</v>
      </c>
    </row>
    <row r="16" customFormat="false" ht="15" hidden="false" customHeight="false" outlineLevel="0" collapsed="false">
      <c r="A16" s="4" t="s">
        <v>217</v>
      </c>
      <c r="B16" s="24" t="n">
        <f aca="false">B15*B7</f>
        <v>20.3676697530864</v>
      </c>
      <c r="C16" s="24" t="n">
        <f aca="false">-B4/Basis!$B$5*Basis!$B$7/B11*B10</f>
        <v>-2.79049625468165</v>
      </c>
    </row>
    <row r="17" customFormat="false" ht="15" hidden="false" customHeight="false" outlineLevel="0" collapsed="false">
      <c r="A17" s="4" t="s">
        <v>218</v>
      </c>
      <c r="B17" s="24" t="n">
        <f aca="false">B15*B8</f>
        <v>11.2022183641975</v>
      </c>
      <c r="C17" s="24" t="n">
        <f aca="false">0</f>
        <v>0</v>
      </c>
    </row>
    <row r="18" customFormat="false" ht="15" hidden="false" customHeight="false" outlineLevel="0" collapsed="false">
      <c r="A18" s="4" t="s">
        <v>219</v>
      </c>
      <c r="B18" s="24" t="n">
        <f aca="false">B15*B9</f>
        <v>12.729793595679</v>
      </c>
      <c r="C18" s="24" t="n">
        <f aca="false">0</f>
        <v>0</v>
      </c>
    </row>
    <row r="19" customFormat="false" ht="15" hidden="false" customHeight="false" outlineLevel="0" collapsed="false">
      <c r="A19" s="4" t="s">
        <v>220</v>
      </c>
      <c r="B19" s="24" t="n">
        <f aca="false">0</f>
        <v>0</v>
      </c>
      <c r="C19" s="24" t="n">
        <f aca="false">C15</f>
        <v>50.9191743827161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16.15" hidden="false" customHeight="false" outlineLevel="0" collapsed="false">
      <c r="A1" s="1" t="s">
        <v>221</v>
      </c>
    </row>
    <row r="2" customFormat="false" ht="15" hidden="false" customHeight="false" outlineLevel="0" collapsed="false">
      <c r="A2" s="2" t="s">
        <v>222</v>
      </c>
    </row>
    <row r="4" customFormat="false" ht="15" hidden="false" customHeight="false" outlineLevel="0" collapsed="false">
      <c r="A4" s="3" t="s">
        <v>223</v>
      </c>
      <c r="B4" s="3" t="s">
        <v>224</v>
      </c>
      <c r="C4" s="3" t="s">
        <v>225</v>
      </c>
      <c r="D4" s="3" t="s">
        <v>226</v>
      </c>
    </row>
    <row r="5" customFormat="false" ht="15" hidden="false" customHeight="false" outlineLevel="0" collapsed="false">
      <c r="A5" s="4" t="s">
        <v>227</v>
      </c>
      <c r="B5" s="27" t="n">
        <v>538.879513888889</v>
      </c>
      <c r="C5" s="28" t="n">
        <f aca="false">B5*Basis!$B$5</f>
        <v>15519.73</v>
      </c>
      <c r="D5" s="28" t="n">
        <f aca="false">C5*Basis!$B$6/1000</f>
        <v>135952.8348</v>
      </c>
    </row>
    <row r="6" customFormat="false" ht="15" hidden="false" customHeight="false" outlineLevel="0" collapsed="false">
      <c r="A6" s="4" t="s">
        <v>228</v>
      </c>
      <c r="B6" s="27" t="n">
        <v>509.609722222222</v>
      </c>
      <c r="C6" s="28" t="n">
        <f aca="false">B6*Basis!$B$5</f>
        <v>14676.76</v>
      </c>
      <c r="D6" s="28" t="n">
        <f aca="false">C6*Basis!$B$6/1000</f>
        <v>128568.4176</v>
      </c>
    </row>
    <row r="7" customFormat="false" ht="15" hidden="false" customHeight="false" outlineLevel="0" collapsed="false">
      <c r="A7" s="4" t="s">
        <v>229</v>
      </c>
      <c r="B7" s="27" t="n">
        <v>146.224683318716</v>
      </c>
      <c r="C7" s="28" t="n">
        <f aca="false">B7*Basis!$B$5</f>
        <v>4211.27087957903</v>
      </c>
      <c r="D7" s="28" t="n">
        <f aca="false">C7*Basis!$B$6/1000</f>
        <v>36890.7329051123</v>
      </c>
    </row>
    <row r="8" customFormat="false" ht="15" hidden="false" customHeight="false" outlineLevel="0" collapsed="false">
      <c r="A8" s="4" t="s">
        <v>230</v>
      </c>
      <c r="B8" s="27" t="n">
        <v>116.95489165205</v>
      </c>
      <c r="C8" s="28" t="n">
        <f aca="false">B8*Basis!$B$5</f>
        <v>3368.30087957903</v>
      </c>
      <c r="D8" s="28" t="n">
        <f aca="false">C8*Basis!$B$6/1000</f>
        <v>29506.3157051123</v>
      </c>
    </row>
    <row r="9" customFormat="false" ht="15" hidden="false" customHeight="false" outlineLevel="0" collapsed="false">
      <c r="A9" s="4" t="s">
        <v>231</v>
      </c>
      <c r="B9" s="27" t="n">
        <v>14.136835794435</v>
      </c>
      <c r="C9" s="28" t="n">
        <f aca="false">B9*Basis!$B$5</f>
        <v>407.140870879729</v>
      </c>
      <c r="D9" s="28" t="n">
        <f aca="false">C9*Basis!$B$6/1000</f>
        <v>3566.55402890643</v>
      </c>
    </row>
    <row r="10" customFormat="false" ht="15" hidden="false" customHeight="false" outlineLevel="0" collapsed="false">
      <c r="A10" s="4" t="s">
        <v>232</v>
      </c>
      <c r="B10" s="27" t="n">
        <v>392.654830570173</v>
      </c>
      <c r="C10" s="28" t="n">
        <f aca="false">B10*Basis!$B$5</f>
        <v>11308.459120421</v>
      </c>
      <c r="D10" s="28" t="n">
        <f aca="false">C10*Basis!$B$6/1000</f>
        <v>99062.1018948877</v>
      </c>
    </row>
    <row r="11" customFormat="false" ht="15" hidden="false" customHeight="false" outlineLevel="0" collapsed="false">
      <c r="A11" s="4" t="s">
        <v>233</v>
      </c>
      <c r="B11" s="12" t="n">
        <v>67.3</v>
      </c>
      <c r="C11" s="12"/>
      <c r="D11" s="12"/>
    </row>
    <row r="13" customFormat="false" ht="15" hidden="false" customHeight="false" outlineLevel="0" collapsed="false">
      <c r="A13" s="14" t="s">
        <v>234</v>
      </c>
    </row>
    <row r="14" customFormat="false" ht="15" hidden="false" customHeight="false" outlineLevel="0" collapsed="false">
      <c r="A14" s="4" t="s">
        <v>235</v>
      </c>
      <c r="B14" s="27" t="n">
        <f aca="false">ROUND(B5-qt!G19,1)</f>
        <v>0</v>
      </c>
    </row>
    <row r="15" customFormat="false" ht="15" hidden="false" customHeight="false" outlineLevel="0" collapsed="false">
      <c r="A15" s="4" t="s">
        <v>236</v>
      </c>
      <c r="B15" s="27" t="n">
        <f aca="false">ROUND(B6-qt!G35,1)</f>
        <v>0</v>
      </c>
    </row>
    <row r="16" customFormat="false" ht="15" hidden="false" customHeight="false" outlineLevel="0" collapsed="false">
      <c r="A16" s="4" t="s">
        <v>237</v>
      </c>
      <c r="B16" s="27" t="n">
        <f aca="false">ROUND((B7-B8)-(B5-B6),1)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2026-10-12T17:33:50Z</dcterms:created>
  <dc:creator>openpyxl</dc:creator>
  <dc:description/>
  <dc:language>en-US</dc:language>
  <cp:lastModifiedBy/>
  <dcterms:modified xsi:type="dcterms:W3CDTF">2026-10-12T17:33:50Z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