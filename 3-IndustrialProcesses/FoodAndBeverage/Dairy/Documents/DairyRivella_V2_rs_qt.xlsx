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<sst xmlns="http://schemas.openxmlformats.org/spreadsheetml/2006/main" count="286" uniqueCount="223">
  <si>
    <t xml:space="preserve">Dairy plant V2: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</si>
  <si>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</si>
  <si>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</si>
  <si>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</si>
  <si>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</si>
  <si>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</si>
  <si>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</si>
  <si>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</si>
  <si>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DWSIM dairy model of Bhatnagar, Flórez-Orrego, Boztas and Dardor; Dardor et al. (2024)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</si>
  <si>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</si>
  <si>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</si>
  <si>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</si>
  <si>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</si>
  <si>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</si>
  <si>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DWSIM dairy model of Bhatnagar, Flórez-Orrego, Boztas and Dardor; Dardor et al. (2024); latest MER runs.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</si>
  <si>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</si>
  <si>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</si>
  <si>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</si>
  <si>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</si>
  <si>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V2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</si>
  <si>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</si>
  <si>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</si>
  <si>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</si>
  <si>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</si>
  <si>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</si>
  <si>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</si>
  <si>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</si>
  <si>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</si>
  <si>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</si>
  <si>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</si>
  <si>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</si>
  <si>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</si>
  <si>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</si>
  <si>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</si>
  <si>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Sugar</t>
  </si>
  <si>
    <t xml:space="preserve">Aroma</t>
  </si>
  <si>
    <t xml:space="preserve">82</t>
  </si>
  <si>
    <t xml:space="preserve">CO2</t>
  </si>
  <si>
    <t xml:space="preserve">65</t>
  </si>
  <si>
    <t xml:space="preserve">Water for the drink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</si>
  <si>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</si>
  <si>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</si>
  <si>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</si>
  <si>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</si>
  <si>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</si>
  <si>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</si>
  <si>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</si>
  <si>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Whey soft drink</t>
  </si>
  <si>
    <t xml:space="preserve">10</t>
  </si>
  <si>
    <t xml:space="preserve">Water vapour from whey evaporation</t>
  </si>
  <si>
    <t xml:space="preserve">100</t>
  </si>
  <si>
    <t xml:space="preserve">Evaporator condensate water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</si>
  <si>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</si>
  <si>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</si>
  <si>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</si>
  <si>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</si>
  <si>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Sludge from wastewater treatment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</si>
  <si>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</si>
  <si>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</si>
  <si>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</si>
  <si>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</si>
  <si>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</si>
  <si>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</si>
  <si>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</si>
  <si>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Whey to the soft-drink line</t>
  </si>
  <si>
    <t xml:space="preserve">4 and 56</t>
  </si>
  <si>
    <t xml:space="preserve">Closure check: total in minus total out (kg/h, plant)</t>
  </si>
  <si>
    <t xml:space="preserve">qt: thermal streams of variant V2,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</si>
  <si>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</si>
  <si>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</si>
  <si>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</si>
  <si>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</si>
  <si>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</si>
  <si>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</si>
  <si>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</si>
  <si>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</si>
  <si>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</si>
  <si>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</si>
  <si>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</si>
  <si>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</si>
  <si>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</si>
  <si>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</si>
  <si>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</si>
  <si>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</si>
  <si>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</si>
  <si>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</si>
  <si>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</si>
  <si>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</si>
  <si>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</si>
  <si>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</si>
  <si>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</si>
  <si>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</si>
  <si>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</si>
  <si>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</si>
  <si>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</si>
  <si>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</si>
  <si>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</si>
  <si>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</si>
  <si>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</si>
  <si>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</si>
  <si>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</si>
  <si>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</si>
  <si>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</si>
  <si>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</si>
  <si>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</si>
  <si>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</si>
  <si>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</si>
  <si>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</si>
  <si>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C10</t>
  </si>
  <si>
    <t xml:space="preserve">Soft drink: Whey heating to boiling</t>
  </si>
  <si>
    <t xml:space="preserve">HHX1_boiler_liquid</t>
  </si>
  <si>
    <t xml:space="preserve">C11</t>
  </si>
  <si>
    <t xml:space="preserve">Soft drink: Whey boiling, water evaporation</t>
  </si>
  <si>
    <t xml:space="preserve">HHX1_boiler_vapor</t>
  </si>
  <si>
    <t xml:space="preserve">C12</t>
  </si>
  <si>
    <t xml:space="preserve">Soft drink: Blending, heating side (lumped)</t>
  </si>
  <si>
    <t xml:space="preserve">MIX1, MIX2_R1, MIX3_R11/R12, MIX4_R18/R19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</si>
  <si>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</si>
  <si>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</si>
  <si>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</si>
  <si>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</si>
  <si>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</si>
  <si>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</si>
  <si>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</si>
  <si>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</si>
  <si>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</si>
  <si>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</si>
  <si>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</si>
  <si>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</si>
  <si>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</si>
  <si>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</si>
  <si>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</si>
  <si>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</si>
  <si>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</si>
  <si>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</si>
  <si>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</si>
  <si>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</si>
  <si>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</si>
  <si>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</si>
  <si>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</si>
  <si>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</si>
  <si>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</si>
  <si>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</si>
  <si>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</si>
  <si>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</si>
  <si>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</si>
  <si>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</si>
  <si>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</si>
  <si>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</si>
  <si>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</si>
  <si>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</si>
  <si>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</si>
  <si>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</si>
  <si>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</si>
  <si>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</si>
  <si>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</si>
  <si>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H13</t>
  </si>
  <si>
    <t xml:space="preserve">Soft drink: Vapour, condensation</t>
  </si>
  <si>
    <t xml:space="preserve">CL1_cw_mixphase</t>
  </si>
  <si>
    <t xml:space="preserve">H14</t>
  </si>
  <si>
    <t xml:space="preserve">Soft drink: Condensate cooling</t>
  </si>
  <si>
    <t xml:space="preserve">CL1_cw_liquid</t>
  </si>
  <si>
    <t xml:space="preserve">H15</t>
  </si>
  <si>
    <t xml:space="preserve">Soft drink: Vapour leaving the evaporator</t>
  </si>
  <si>
    <t xml:space="preserve">R6_hot_leaving</t>
  </si>
  <si>
    <t xml:space="preserve">H16</t>
  </si>
  <si>
    <t xml:space="preserve">Soft drink: Whey concentrate and syrup cooling</t>
  </si>
  <si>
    <t xml:space="preserve">CL2 + CL3</t>
  </si>
  <si>
    <t xml:space="preserve">H17</t>
  </si>
  <si>
    <t xml:space="preserve">Soft drink: Aroma condensation and cooling (lumped)</t>
  </si>
  <si>
    <t xml:space="preserve">MIX2_R4</t>
  </si>
  <si>
    <t xml:space="preserve">H18</t>
  </si>
  <si>
    <t xml:space="preserve">Soft drink: Blending, cooling side (lumped)</t>
  </si>
  <si>
    <t xml:space="preserve">MIX3_R8, MIX4_R17, MIX5, MIX6</t>
  </si>
  <si>
    <t xml:space="preserve">Total hot streams</t>
  </si>
  <si>
    <t xml:space="preserve">rs: process electricity of the cheese line, variant V2,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</si>
  <si>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</si>
  <si>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</si>
  <si>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</si>
  <si>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</si>
  <si>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</si>
  <si>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</si>
  <si>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</si>
  <si>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</si>
  <si>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</si>
  <si>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</si>
  <si>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</si>
  <si>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</si>
  <si>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</si>
  <si>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</si>
  <si>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</si>
  <si>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</si>
  <si>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</si>
  <si>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</si>
  <si>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</si>
  <si>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</si>
  <si>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</si>
  <si>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</si>
  <si>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</si>
  <si>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</si>
  <si>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</si>
  <si>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</si>
  <si>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</si>
  <si>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</si>
  <si>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</si>
  <si>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The electricity of the soft-drink unit (pumps, blending, carbonation, filling) is not covered by the reference and is not included.</t>
  </si>
  <si>
    <t xml:space="preserve">Reference targets for the 30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</si>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</sst>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4" t="s">
        <v>34</v>
      </c>
      <c r="B9" s="4" t="s">
        <v>27</v>
      </c>
      <c r="C9" s="9" t="n">
        <v>544.6484</v>
      </c>
      <c r="D9" s="10" t="n">
        <f aca="false">C9/Basis!$B$5*Basis!$B$7</f>
        <v>18.9114027777778</v>
      </c>
      <c r="E9" s="4" t="s">
        <v>30</v>
      </c>
    </row>
    <row r="10" customFormat="false" ht="15" hidden="false" customHeight="false" outlineLevel="0" collapsed="false">
      <c r="A10" s="4" t="s">
        <v>35</v>
      </c>
      <c r="B10" s="4" t="s">
        <v>27</v>
      </c>
      <c r="C10" s="9" t="n">
        <v>171.9687</v>
      </c>
      <c r="D10" s="10" t="n">
        <f aca="false">C10/Basis!$B$5*Basis!$B$7</f>
        <v>5.97113541666667</v>
      </c>
      <c r="E10" s="4" t="s">
        <v>36</v>
      </c>
    </row>
    <row r="11" customFormat="false" ht="15" hidden="false" customHeight="false" outlineLevel="0" collapsed="false">
      <c r="A11" s="4" t="s">
        <v>37</v>
      </c>
      <c r="B11" s="4" t="s">
        <v>27</v>
      </c>
      <c r="C11" s="9" t="n">
        <v>199.4997</v>
      </c>
      <c r="D11" s="10" t="n">
        <f aca="false">C11/Basis!$B$5*Basis!$B$7</f>
        <v>6.92707291666667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27</v>
      </c>
      <c r="C12" s="9" t="n">
        <v>1871.4918</v>
      </c>
      <c r="D12" s="10" t="n">
        <f aca="false">C12/Basis!$B$5*Basis!$B$7</f>
        <v>64.9823541666667</v>
      </c>
      <c r="E12" s="4" t="s">
        <v>30</v>
      </c>
    </row>
    <row r="13" customFormat="false" ht="15" hidden="false" customHeight="false" outlineLevel="0" collapsed="false">
      <c r="A13" s="11" t="s">
        <v>40</v>
      </c>
      <c r="B13" s="12"/>
      <c r="C13" s="13" t="n">
        <f aca="false">SUM(C5:C12)</f>
        <v>36982.9086</v>
      </c>
      <c r="D13" s="13" t="n">
        <f aca="false">SUM(D5:D12)</f>
        <v>1284.12877083333</v>
      </c>
      <c r="E13" s="12"/>
    </row>
    <row r="14" customFormat="false" ht="15" hidden="false" customHeight="false" outlineLevel="0" collapsed="false">
      <c r="A14" s="7" t="s">
        <v>41</v>
      </c>
      <c r="B14" s="8"/>
      <c r="C14" s="8"/>
      <c r="D14" s="8"/>
      <c r="E14" s="8"/>
    </row>
    <row r="15" customFormat="false" ht="15" hidden="false" customHeight="false" outlineLevel="0" collapsed="false">
      <c r="A15" s="4" t="s">
        <v>42</v>
      </c>
      <c r="B15" s="4" t="s">
        <v>43</v>
      </c>
      <c r="C15" s="9" t="n">
        <v>1714.2</v>
      </c>
      <c r="D15" s="10" t="n">
        <f aca="false">C15/Basis!$B$5*Basis!$B$7</f>
        <v>59.5208333333333</v>
      </c>
      <c r="E15" s="4" t="s">
        <v>44</v>
      </c>
    </row>
    <row r="16" customFormat="false" ht="15" hidden="false" customHeight="false" outlineLevel="0" collapsed="false">
      <c r="A16" s="4" t="s">
        <v>45</v>
      </c>
      <c r="B16" s="4" t="s">
        <v>43</v>
      </c>
      <c r="C16" s="9" t="n">
        <v>2024.9</v>
      </c>
      <c r="D16" s="10" t="n">
        <f aca="false">C16/Basis!$B$5*Basis!$B$7</f>
        <v>70.3090277777778</v>
      </c>
      <c r="E16" s="4" t="s">
        <v>46</v>
      </c>
    </row>
    <row r="17" customFormat="false" ht="15" hidden="false" customHeight="false" outlineLevel="0" collapsed="false">
      <c r="A17" s="4" t="s">
        <v>47</v>
      </c>
      <c r="B17" s="4" t="s">
        <v>43</v>
      </c>
      <c r="C17" s="9" t="n">
        <v>6293.6155</v>
      </c>
      <c r="D17" s="10" t="n">
        <f aca="false">C17/Basis!$B$5*Basis!$B$7</f>
        <v>218.528315972222</v>
      </c>
      <c r="E17" s="4" t="s">
        <v>48</v>
      </c>
    </row>
    <row r="18" customFormat="false" ht="15" hidden="false" customHeight="false" outlineLevel="0" collapsed="false">
      <c r="A18" s="4" t="s">
        <v>49</v>
      </c>
      <c r="B18" s="4" t="s">
        <v>43</v>
      </c>
      <c r="C18" s="9" t="n">
        <v>5094.4231</v>
      </c>
      <c r="D18" s="10" t="n">
        <f aca="false">C18/Basis!$B$5*Basis!$B$7</f>
        <v>176.889690972222</v>
      </c>
      <c r="E18" s="4" t="s">
        <v>50</v>
      </c>
    </row>
    <row r="19" customFormat="false" ht="15" hidden="false" customHeight="false" outlineLevel="0" collapsed="false">
      <c r="A19" s="4" t="s">
        <v>51</v>
      </c>
      <c r="B19" s="4" t="s">
        <v>43</v>
      </c>
      <c r="C19" s="9" t="n">
        <v>12915.94</v>
      </c>
      <c r="D19" s="10" t="n">
        <f aca="false">C19/Basis!$B$5*Basis!$B$7</f>
        <v>448.470138888889</v>
      </c>
      <c r="E19" s="4" t="s">
        <v>38</v>
      </c>
    </row>
    <row r="20" customFormat="false" ht="15" hidden="false" customHeight="false" outlineLevel="0" collapsed="false">
      <c r="A20" s="4" t="s">
        <v>52</v>
      </c>
      <c r="B20" s="4" t="s">
        <v>43</v>
      </c>
      <c r="C20" s="9" t="n">
        <v>4482.83</v>
      </c>
      <c r="D20" s="10" t="n">
        <f aca="false">C20/Basis!$B$5*Basis!$B$7</f>
        <v>155.653819444444</v>
      </c>
      <c r="E20" s="4" t="s">
        <v>53</v>
      </c>
    </row>
    <row r="21" customFormat="false" ht="15" hidden="false" customHeight="false" outlineLevel="0" collapsed="false">
      <c r="A21" s="4" t="s">
        <v>54</v>
      </c>
      <c r="B21" s="4" t="s">
        <v>43</v>
      </c>
      <c r="C21" s="9" t="n">
        <v>4320</v>
      </c>
      <c r="D21" s="10" t="n">
        <f aca="false">C21/Basis!$B$5*Basis!$B$7</f>
        <v>150</v>
      </c>
      <c r="E21" s="4" t="s">
        <v>55</v>
      </c>
    </row>
    <row r="22" customFormat="false" ht="15" hidden="false" customHeight="false" outlineLevel="0" collapsed="false">
      <c r="A22" s="4" t="s">
        <v>56</v>
      </c>
      <c r="B22" s="4" t="s">
        <v>43</v>
      </c>
      <c r="C22" s="9" t="n">
        <v>137</v>
      </c>
      <c r="D22" s="10" t="n">
        <f aca="false">C22/Basis!$B$5*Basis!$B$7</f>
        <v>4.75694444444445</v>
      </c>
      <c r="E22" s="4" t="s">
        <v>53</v>
      </c>
    </row>
    <row r="23" customFormat="false" ht="15" hidden="false" customHeight="false" outlineLevel="0" collapsed="false">
      <c r="A23" s="11" t="s">
        <v>57</v>
      </c>
      <c r="B23" s="12"/>
      <c r="C23" s="13" t="n">
        <f aca="false">SUM(C15:C22)</f>
        <v>36982.9086</v>
      </c>
      <c r="D23" s="13" t="n">
        <f aca="false">SUM(D15:D22)</f>
        <v>1284.12877083333</v>
      </c>
      <c r="E23" s="12"/>
    </row>
    <row r="24" customFormat="false" ht="15" hidden="false" customHeight="false" outlineLevel="0" collapsed="false">
      <c r="A24" s="7" t="s">
        <v>58</v>
      </c>
      <c r="B24" s="8"/>
      <c r="C24" s="8"/>
      <c r="D24" s="8"/>
      <c r="E24" s="8"/>
    </row>
    <row r="25" customFormat="false" ht="15" hidden="false" customHeight="false" outlineLevel="0" collapsed="false">
      <c r="A25" s="4" t="s">
        <v>59</v>
      </c>
      <c r="B25" s="4"/>
      <c r="C25" s="9" t="n">
        <v>27085.8</v>
      </c>
      <c r="D25" s="10" t="n">
        <f aca="false">C25/Basis!$B$5*Basis!$B$7</f>
        <v>940.479166666667</v>
      </c>
      <c r="E25" s="4" t="s">
        <v>44</v>
      </c>
    </row>
    <row r="26" customFormat="false" ht="15" hidden="false" customHeight="false" outlineLevel="0" collapsed="false">
      <c r="A26" s="4" t="s">
        <v>60</v>
      </c>
      <c r="B26" s="4"/>
      <c r="C26" s="9" t="n">
        <v>5083.2</v>
      </c>
      <c r="D26" s="10" t="n">
        <f aca="false">C26/Basis!$B$5*Basis!$B$7</f>
        <v>176.5</v>
      </c>
      <c r="E26" s="4" t="s">
        <v>44</v>
      </c>
    </row>
    <row r="27" customFormat="false" ht="15" hidden="false" customHeight="false" outlineLevel="0" collapsed="false">
      <c r="A27" s="4" t="s">
        <v>61</v>
      </c>
      <c r="B27" s="4"/>
      <c r="C27" s="9" t="n">
        <v>104.01</v>
      </c>
      <c r="D27" s="10" t="n">
        <f aca="false">C27/Basis!$B$5*Basis!$B$7</f>
        <v>3.61145833333333</v>
      </c>
      <c r="E27" s="4" t="s">
        <v>44</v>
      </c>
    </row>
    <row r="28" customFormat="false" ht="15" hidden="false" customHeight="false" outlineLevel="0" collapsed="false">
      <c r="A28" s="4" t="s">
        <v>62</v>
      </c>
      <c r="B28" s="4"/>
      <c r="C28" s="9" t="n">
        <v>983.8</v>
      </c>
      <c r="D28" s="10" t="n">
        <f aca="false">C28/Basis!$B$5*Basis!$B$7</f>
        <v>34.1597222222222</v>
      </c>
      <c r="E28" s="4" t="s">
        <v>46</v>
      </c>
    </row>
    <row r="29" customFormat="false" ht="15" hidden="false" customHeight="false" outlineLevel="0" collapsed="false">
      <c r="A29" s="4" t="s">
        <v>63</v>
      </c>
      <c r="B29" s="4"/>
      <c r="C29" s="9" t="n">
        <v>3532.02</v>
      </c>
      <c r="D29" s="10" t="n">
        <f aca="false">C29/Basis!$B$5*Basis!$B$7</f>
        <v>122.639583333333</v>
      </c>
      <c r="E29" s="4" t="s">
        <v>44</v>
      </c>
    </row>
    <row r="30" customFormat="false" ht="15" hidden="false" customHeight="false" outlineLevel="0" collapsed="false">
      <c r="A30" s="4" t="s">
        <v>64</v>
      </c>
      <c r="B30" s="4"/>
      <c r="C30" s="9" t="n">
        <v>8600.43</v>
      </c>
      <c r="D30" s="10" t="n">
        <f aca="false">C30/Basis!$B$5*Basis!$B$7</f>
        <v>298.626041666667</v>
      </c>
      <c r="E30" s="4" t="s">
        <v>65</v>
      </c>
    </row>
    <row r="32" customFormat="false" ht="15" hidden="false" customHeight="false" outlineLevel="0" collapsed="false">
      <c r="A32" s="14" t="s">
        <v>66</v>
      </c>
      <c r="C32" s="15" t="n">
        <f aca="false">C13-C23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23.85" hidden="false" customHeight="false" outlineLevel="0" collapsed="false">
      <c r="A4" s="3" t="s">
        <v>69</v>
      </c>
      <c r="B4" s="3" t="s">
        <v>20</v>
      </c>
      <c r="C4" s="3" t="s">
        <v>70</v>
      </c>
      <c r="D4" s="3" t="s">
        <v>71</v>
      </c>
      <c r="E4" s="3" t="s">
        <v>72</v>
      </c>
      <c r="F4" s="3" t="s">
        <v>73</v>
      </c>
      <c r="G4" s="3" t="s">
        <v>74</v>
      </c>
      <c r="H4" s="3" t="s">
        <v>75</v>
      </c>
      <c r="I4" s="3" t="s">
        <v>76</v>
      </c>
      <c r="J4" s="3" t="s">
        <v>77</v>
      </c>
      <c r="K4" s="3" t="s">
        <v>78</v>
      </c>
    </row>
    <row r="5" customFormat="false" ht="15" hidden="false" customHeight="false" outlineLevel="0" collapsed="false">
      <c r="A5" s="7" t="s">
        <v>79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80</v>
      </c>
      <c r="B6" s="4" t="s">
        <v>81</v>
      </c>
      <c r="C6" s="4" t="s">
        <v>82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83</v>
      </c>
    </row>
    <row r="7" customFormat="false" ht="15" hidden="false" customHeight="false" outlineLevel="0" collapsed="false">
      <c r="A7" s="4" t="s">
        <v>84</v>
      </c>
      <c r="B7" s="4" t="s">
        <v>85</v>
      </c>
      <c r="C7" s="4" t="s">
        <v>82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86</v>
      </c>
    </row>
    <row r="8" customFormat="false" ht="15" hidden="false" customHeight="false" outlineLevel="0" collapsed="false">
      <c r="A8" s="4" t="s">
        <v>87</v>
      </c>
      <c r="B8" s="4" t="s">
        <v>88</v>
      </c>
      <c r="C8" s="4" t="s">
        <v>82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89</v>
      </c>
    </row>
    <row r="9" customFormat="false" ht="15" hidden="false" customHeight="false" outlineLevel="0" collapsed="false">
      <c r="A9" s="4" t="s">
        <v>90</v>
      </c>
      <c r="B9" s="4" t="s">
        <v>91</v>
      </c>
      <c r="C9" s="4" t="s">
        <v>82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92</v>
      </c>
    </row>
    <row r="10" customFormat="false" ht="15" hidden="false" customHeight="false" outlineLevel="0" collapsed="false">
      <c r="A10" s="4" t="s">
        <v>93</v>
      </c>
      <c r="B10" s="4" t="s">
        <v>94</v>
      </c>
      <c r="C10" s="4" t="s">
        <v>82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95</v>
      </c>
    </row>
    <row r="11" customFormat="false" ht="15" hidden="false" customHeight="false" outlineLevel="0" collapsed="false">
      <c r="A11" s="4" t="s">
        <v>96</v>
      </c>
      <c r="B11" s="4" t="s">
        <v>97</v>
      </c>
      <c r="C11" s="4" t="s">
        <v>82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98</v>
      </c>
    </row>
    <row r="12" customFormat="false" ht="15" hidden="false" customHeight="false" outlineLevel="0" collapsed="false">
      <c r="A12" s="4" t="s">
        <v>99</v>
      </c>
      <c r="B12" s="4" t="s">
        <v>100</v>
      </c>
      <c r="C12" s="4" t="s">
        <v>82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101</v>
      </c>
    </row>
    <row r="13" customFormat="false" ht="15" hidden="false" customHeight="false" outlineLevel="0" collapsed="false">
      <c r="A13" s="4" t="s">
        <v>102</v>
      </c>
      <c r="B13" s="4" t="s">
        <v>103</v>
      </c>
      <c r="C13" s="4" t="s">
        <v>82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104</v>
      </c>
    </row>
    <row r="14" customFormat="false" ht="15" hidden="false" customHeight="false" outlineLevel="0" collapsed="false">
      <c r="A14" s="4" t="s">
        <v>105</v>
      </c>
      <c r="B14" s="4" t="s">
        <v>106</v>
      </c>
      <c r="C14" s="4" t="s">
        <v>82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107</v>
      </c>
    </row>
    <row r="15" customFormat="false" ht="15" hidden="false" customHeight="false" outlineLevel="0" collapsed="false">
      <c r="A15" s="4" t="s">
        <v>108</v>
      </c>
      <c r="B15" s="4" t="s">
        <v>109</v>
      </c>
      <c r="C15" s="4" t="s">
        <v>82</v>
      </c>
      <c r="D15" s="16" t="n">
        <v>27.2</v>
      </c>
      <c r="E15" s="16" t="n">
        <v>97.3</v>
      </c>
      <c r="F15" s="9" t="n">
        <v>790.7169</v>
      </c>
      <c r="G15" s="17" t="n">
        <f aca="false">F15/Basis!$B$5*Basis!$B$7</f>
        <v>27.4554479166667</v>
      </c>
      <c r="H15" s="18" t="n">
        <f aca="false">G15/ABS(E15-D15)</f>
        <v>0.391661168568711</v>
      </c>
      <c r="I15" s="16" t="n">
        <v>5</v>
      </c>
      <c r="J15" s="19" t="n">
        <f aca="false">Basis!$B$6</f>
        <v>8760</v>
      </c>
      <c r="K15" s="4" t="s">
        <v>110</v>
      </c>
    </row>
    <row r="16" customFormat="false" ht="15" hidden="false" customHeight="false" outlineLevel="0" collapsed="false">
      <c r="A16" s="4" t="s">
        <v>111</v>
      </c>
      <c r="B16" s="4" t="s">
        <v>112</v>
      </c>
      <c r="C16" s="4" t="s">
        <v>82</v>
      </c>
      <c r="D16" s="16" t="n">
        <v>97.3</v>
      </c>
      <c r="E16" s="16" t="n">
        <v>100</v>
      </c>
      <c r="F16" s="9" t="n">
        <v>4759.5629</v>
      </c>
      <c r="G16" s="17" t="n">
        <f aca="false">F16/Basis!$B$5*Basis!$B$7</f>
        <v>165.262600694444</v>
      </c>
      <c r="H16" s="18" t="n">
        <f aca="false">G16/ABS(E16-D16)</f>
        <v>61.208370627572</v>
      </c>
      <c r="I16" s="16" t="n">
        <v>8</v>
      </c>
      <c r="J16" s="19" t="n">
        <f aca="false">Basis!$B$6</f>
        <v>8760</v>
      </c>
      <c r="K16" s="4" t="s">
        <v>113</v>
      </c>
    </row>
    <row r="17" customFormat="false" ht="15" hidden="false" customHeight="false" outlineLevel="0" collapsed="false">
      <c r="A17" s="4" t="s">
        <v>114</v>
      </c>
      <c r="B17" s="4" t="s">
        <v>115</v>
      </c>
      <c r="C17" s="4" t="s">
        <v>82</v>
      </c>
      <c r="D17" s="16" t="n">
        <v>25</v>
      </c>
      <c r="E17" s="16" t="n">
        <v>45.2</v>
      </c>
      <c r="F17" s="9" t="n">
        <v>49.6754</v>
      </c>
      <c r="G17" s="17" t="n">
        <f aca="false">F17/Basis!$B$5*Basis!$B$7</f>
        <v>1.72484027777778</v>
      </c>
      <c r="H17" s="18" t="n">
        <f aca="false">G17/ABS(E17-D17)</f>
        <v>0.0853881325632563</v>
      </c>
      <c r="I17" s="16" t="n">
        <v>5</v>
      </c>
      <c r="J17" s="19" t="n">
        <f aca="false">Basis!$B$6</f>
        <v>8760</v>
      </c>
      <c r="K17" s="4" t="s">
        <v>116</v>
      </c>
    </row>
    <row r="18" customFormat="false" ht="15" hidden="false" customHeight="false" outlineLevel="0" collapsed="false">
      <c r="A18" s="12"/>
      <c r="B18" s="11" t="s">
        <v>117</v>
      </c>
      <c r="C18" s="12"/>
      <c r="D18" s="12"/>
      <c r="E18" s="12"/>
      <c r="F18" s="20" t="n">
        <f aca="false">SUM(F6:F17)</f>
        <v>18165.2552</v>
      </c>
      <c r="G18" s="21" t="n">
        <f aca="false">SUM(G6:G17)</f>
        <v>630.738027777778</v>
      </c>
      <c r="H18" s="12"/>
      <c r="I18" s="12"/>
      <c r="J18" s="12"/>
      <c r="K18" s="12"/>
    </row>
    <row r="19" customFormat="false" ht="15" hidden="false" customHeight="false" outlineLevel="0" collapsed="false">
      <c r="A19" s="7" t="s">
        <v>118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4" t="s">
        <v>119</v>
      </c>
      <c r="B20" s="4" t="s">
        <v>120</v>
      </c>
      <c r="C20" s="4" t="s">
        <v>121</v>
      </c>
      <c r="D20" s="16" t="n">
        <v>6</v>
      </c>
      <c r="E20" s="16" t="n">
        <v>4</v>
      </c>
      <c r="F20" s="9" t="n">
        <v>62.9</v>
      </c>
      <c r="G20" s="17" t="n">
        <f aca="false">F20/Basis!$B$5*Basis!$B$7</f>
        <v>2.18402777777778</v>
      </c>
      <c r="H20" s="18" t="n">
        <f aca="false">G20/ABS(E20-D20)</f>
        <v>1.09201388888889</v>
      </c>
      <c r="I20" s="16" t="n">
        <v>5</v>
      </c>
      <c r="J20" s="19" t="n">
        <f aca="false">Basis!$B$6</f>
        <v>8760</v>
      </c>
      <c r="K20" s="4" t="s">
        <v>122</v>
      </c>
    </row>
    <row r="21" customFormat="false" ht="15" hidden="false" customHeight="false" outlineLevel="0" collapsed="false">
      <c r="A21" s="4" t="s">
        <v>123</v>
      </c>
      <c r="B21" s="4" t="s">
        <v>124</v>
      </c>
      <c r="C21" s="4" t="s">
        <v>121</v>
      </c>
      <c r="D21" s="16" t="n">
        <v>75</v>
      </c>
      <c r="E21" s="16" t="n">
        <v>4</v>
      </c>
      <c r="F21" s="9" t="n">
        <v>2106.1</v>
      </c>
      <c r="G21" s="17" t="n">
        <f aca="false">F21/Basis!$B$5*Basis!$B$7</f>
        <v>73.1284722222222</v>
      </c>
      <c r="H21" s="18" t="n">
        <f aca="false">G21/ABS(E21-D21)</f>
        <v>1.02997848200313</v>
      </c>
      <c r="I21" s="16" t="n">
        <v>5</v>
      </c>
      <c r="J21" s="19" t="n">
        <f aca="false">Basis!$B$6</f>
        <v>8760</v>
      </c>
      <c r="K21" s="4" t="s">
        <v>125</v>
      </c>
    </row>
    <row r="22" customFormat="false" ht="15" hidden="false" customHeight="false" outlineLevel="0" collapsed="false">
      <c r="A22" s="4" t="s">
        <v>126</v>
      </c>
      <c r="B22" s="4" t="s">
        <v>127</v>
      </c>
      <c r="C22" s="4" t="s">
        <v>121</v>
      </c>
      <c r="D22" s="16" t="n">
        <v>70.2</v>
      </c>
      <c r="E22" s="16" t="n">
        <v>69.1</v>
      </c>
      <c r="F22" s="9" t="n">
        <v>3517.8</v>
      </c>
      <c r="G22" s="17" t="n">
        <f aca="false">F22/Basis!$B$5*Basis!$B$7</f>
        <v>122.145833333333</v>
      </c>
      <c r="H22" s="18" t="n">
        <f aca="false">G22/ABS(E22-D22)</f>
        <v>111.041666666666</v>
      </c>
      <c r="I22" s="16" t="n">
        <v>2</v>
      </c>
      <c r="J22" s="19" t="n">
        <f aca="false">Basis!$B$6</f>
        <v>8760</v>
      </c>
      <c r="K22" s="4" t="s">
        <v>128</v>
      </c>
    </row>
    <row r="23" customFormat="false" ht="15" hidden="false" customHeight="false" outlineLevel="0" collapsed="false">
      <c r="A23" s="4" t="s">
        <v>129</v>
      </c>
      <c r="B23" s="4" t="s">
        <v>130</v>
      </c>
      <c r="C23" s="4" t="s">
        <v>121</v>
      </c>
      <c r="D23" s="16" t="n">
        <v>65.6</v>
      </c>
      <c r="E23" s="16" t="n">
        <v>65</v>
      </c>
      <c r="F23" s="9" t="n">
        <v>3011.9</v>
      </c>
      <c r="G23" s="17" t="n">
        <f aca="false">F23/Basis!$B$5*Basis!$B$7</f>
        <v>104.579861111111</v>
      </c>
      <c r="H23" s="18" t="n">
        <f aca="false">G23/ABS(E23-D23)</f>
        <v>174.29976851852</v>
      </c>
      <c r="I23" s="16" t="n">
        <v>2</v>
      </c>
      <c r="J23" s="19" t="n">
        <f aca="false">Basis!$B$6</f>
        <v>8760</v>
      </c>
      <c r="K23" s="4" t="s">
        <v>131</v>
      </c>
    </row>
    <row r="24" customFormat="false" ht="15" hidden="false" customHeight="false" outlineLevel="0" collapsed="false">
      <c r="A24" s="4" t="s">
        <v>132</v>
      </c>
      <c r="B24" s="4" t="s">
        <v>133</v>
      </c>
      <c r="C24" s="4" t="s">
        <v>121</v>
      </c>
      <c r="D24" s="16" t="n">
        <v>61.3</v>
      </c>
      <c r="E24" s="16" t="n">
        <v>60.1</v>
      </c>
      <c r="F24" s="9" t="n">
        <v>1889.5</v>
      </c>
      <c r="G24" s="17" t="n">
        <f aca="false">F24/Basis!$B$5*Basis!$B$7</f>
        <v>65.6076388888889</v>
      </c>
      <c r="H24" s="18" t="n">
        <f aca="false">G24/ABS(E24-D24)</f>
        <v>54.6730324074076</v>
      </c>
      <c r="I24" s="16" t="n">
        <v>2</v>
      </c>
      <c r="J24" s="19" t="n">
        <f aca="false">Basis!$B$6</f>
        <v>8760</v>
      </c>
      <c r="K24" s="4" t="s">
        <v>134</v>
      </c>
    </row>
    <row r="25" customFormat="false" ht="15" hidden="false" customHeight="false" outlineLevel="0" collapsed="false">
      <c r="A25" s="4" t="s">
        <v>135</v>
      </c>
      <c r="B25" s="4" t="s">
        <v>136</v>
      </c>
      <c r="C25" s="4" t="s">
        <v>121</v>
      </c>
      <c r="D25" s="16" t="n">
        <v>69.9</v>
      </c>
      <c r="E25" s="16" t="n">
        <v>25</v>
      </c>
      <c r="F25" s="9" t="n">
        <v>610.2</v>
      </c>
      <c r="G25" s="17" t="n">
        <f aca="false">F25/Basis!$B$5*Basis!$B$7</f>
        <v>21.1875</v>
      </c>
      <c r="H25" s="18" t="n">
        <f aca="false">G25/ABS(E25-D25)</f>
        <v>0.471881959910913</v>
      </c>
      <c r="I25" s="16" t="n">
        <v>5</v>
      </c>
      <c r="J25" s="19" t="n">
        <f aca="false">Basis!$B$6</f>
        <v>8760</v>
      </c>
      <c r="K25" s="4" t="s">
        <v>137</v>
      </c>
    </row>
    <row r="26" customFormat="false" ht="15" hidden="false" customHeight="false" outlineLevel="0" collapsed="false">
      <c r="A26" s="4" t="s">
        <v>138</v>
      </c>
      <c r="B26" s="4" t="s">
        <v>139</v>
      </c>
      <c r="C26" s="4" t="s">
        <v>121</v>
      </c>
      <c r="D26" s="16" t="n">
        <v>61.3</v>
      </c>
      <c r="E26" s="16" t="n">
        <v>4</v>
      </c>
      <c r="F26" s="9" t="n">
        <v>268.3</v>
      </c>
      <c r="G26" s="17" t="n">
        <f aca="false">F26/Basis!$B$5*Basis!$B$7</f>
        <v>9.31597222222222</v>
      </c>
      <c r="H26" s="18" t="n">
        <f aca="false">G26/ABS(E26-D26)</f>
        <v>0.162582412255187</v>
      </c>
      <c r="I26" s="16" t="n">
        <v>5</v>
      </c>
      <c r="J26" s="19" t="n">
        <f aca="false">Basis!$B$6</f>
        <v>8760</v>
      </c>
      <c r="K26" s="4" t="s">
        <v>140</v>
      </c>
    </row>
    <row r="27" customFormat="false" ht="15" hidden="false" customHeight="false" outlineLevel="0" collapsed="false">
      <c r="A27" s="4" t="s">
        <v>141</v>
      </c>
      <c r="B27" s="4" t="s">
        <v>142</v>
      </c>
      <c r="C27" s="4" t="s">
        <v>121</v>
      </c>
      <c r="D27" s="16" t="n">
        <v>56</v>
      </c>
      <c r="E27" s="16" t="n">
        <v>16</v>
      </c>
      <c r="F27" s="9" t="n">
        <v>63</v>
      </c>
      <c r="G27" s="17" t="n">
        <f aca="false">F27/Basis!$B$5*Basis!$B$7</f>
        <v>2.1875</v>
      </c>
      <c r="H27" s="18" t="n">
        <f aca="false">G27/ABS(E27-D27)</f>
        <v>0.0546875</v>
      </c>
      <c r="I27" s="16" t="n">
        <v>5</v>
      </c>
      <c r="J27" s="19" t="n">
        <f aca="false">Basis!$B$6</f>
        <v>8760</v>
      </c>
      <c r="K27" s="4" t="s">
        <v>143</v>
      </c>
    </row>
    <row r="28" customFormat="false" ht="15" hidden="false" customHeight="false" outlineLevel="0" collapsed="false">
      <c r="A28" s="4" t="s">
        <v>144</v>
      </c>
      <c r="B28" s="4" t="s">
        <v>145</v>
      </c>
      <c r="C28" s="4" t="s">
        <v>121</v>
      </c>
      <c r="D28" s="16" t="n">
        <v>25</v>
      </c>
      <c r="E28" s="16" t="n">
        <v>13</v>
      </c>
      <c r="F28" s="9" t="n">
        <v>9.4</v>
      </c>
      <c r="G28" s="17" t="n">
        <f aca="false">F28/Basis!$B$5*Basis!$B$7</f>
        <v>0.326388888888889</v>
      </c>
      <c r="H28" s="18" t="n">
        <f aca="false">G28/ABS(E28-D28)</f>
        <v>0.0271990740740741</v>
      </c>
      <c r="I28" s="16" t="n">
        <v>5</v>
      </c>
      <c r="J28" s="19" t="n">
        <f aca="false">Basis!$B$6</f>
        <v>8760</v>
      </c>
      <c r="K28" s="4" t="s">
        <v>146</v>
      </c>
    </row>
    <row r="29" customFormat="false" ht="15" hidden="false" customHeight="false" outlineLevel="0" collapsed="false">
      <c r="A29" s="4" t="s">
        <v>147</v>
      </c>
      <c r="B29" s="4" t="s">
        <v>148</v>
      </c>
      <c r="C29" s="4" t="s">
        <v>121</v>
      </c>
      <c r="D29" s="16" t="n">
        <v>80</v>
      </c>
      <c r="E29" s="16" t="n">
        <v>75</v>
      </c>
      <c r="F29" s="9" t="n">
        <v>83.8</v>
      </c>
      <c r="G29" s="17" t="n">
        <f aca="false">F29/Basis!$B$5*Basis!$B$7</f>
        <v>2.90972222222222</v>
      </c>
      <c r="H29" s="18" t="n">
        <f aca="false">G29/ABS(E29-D29)</f>
        <v>0.581944444444444</v>
      </c>
      <c r="I29" s="16" t="n">
        <v>5</v>
      </c>
      <c r="J29" s="19" t="n">
        <f aca="false">Basis!$B$6</f>
        <v>8760</v>
      </c>
      <c r="K29" s="4" t="s">
        <v>149</v>
      </c>
    </row>
    <row r="30" customFormat="false" ht="15" hidden="false" customHeight="false" outlineLevel="0" collapsed="false">
      <c r="A30" s="4" t="s">
        <v>150</v>
      </c>
      <c r="B30" s="4" t="s">
        <v>151</v>
      </c>
      <c r="C30" s="4" t="s">
        <v>121</v>
      </c>
      <c r="D30" s="16" t="n">
        <v>75</v>
      </c>
      <c r="E30" s="16" t="n">
        <v>60</v>
      </c>
      <c r="F30" s="9" t="n">
        <v>175.9</v>
      </c>
      <c r="G30" s="17" t="n">
        <f aca="false">F30/Basis!$B$5*Basis!$B$7</f>
        <v>6.10763888888889</v>
      </c>
      <c r="H30" s="18" t="n">
        <f aca="false">G30/ABS(E30-D30)</f>
        <v>0.407175925925926</v>
      </c>
      <c r="I30" s="16" t="n">
        <v>5</v>
      </c>
      <c r="J30" s="19" t="n">
        <f aca="false">Basis!$B$6</f>
        <v>8760</v>
      </c>
      <c r="K30" s="4" t="s">
        <v>152</v>
      </c>
    </row>
    <row r="31" customFormat="false" ht="15" hidden="false" customHeight="false" outlineLevel="0" collapsed="false">
      <c r="A31" s="4" t="s">
        <v>153</v>
      </c>
      <c r="B31" s="4" t="s">
        <v>154</v>
      </c>
      <c r="C31" s="4" t="s">
        <v>121</v>
      </c>
      <c r="D31" s="16" t="n">
        <v>75</v>
      </c>
      <c r="E31" s="16" t="n">
        <v>30</v>
      </c>
      <c r="F31" s="9" t="n">
        <v>225.9</v>
      </c>
      <c r="G31" s="17" t="n">
        <f aca="false">F31/Basis!$B$5*Basis!$B$7</f>
        <v>7.84375</v>
      </c>
      <c r="H31" s="18" t="n">
        <f aca="false">G31/ABS(E31-D31)</f>
        <v>0.174305555555556</v>
      </c>
      <c r="I31" s="16" t="n">
        <v>5</v>
      </c>
      <c r="J31" s="19" t="n">
        <f aca="false">Basis!$B$6</f>
        <v>8760</v>
      </c>
      <c r="K31" s="4" t="s">
        <v>155</v>
      </c>
    </row>
    <row r="32" customFormat="false" ht="15" hidden="false" customHeight="false" outlineLevel="0" collapsed="false">
      <c r="A32" s="4" t="s">
        <v>156</v>
      </c>
      <c r="B32" s="4" t="s">
        <v>157</v>
      </c>
      <c r="C32" s="4" t="s">
        <v>121</v>
      </c>
      <c r="D32" s="16" t="n">
        <v>100</v>
      </c>
      <c r="E32" s="16" t="n">
        <v>99.9</v>
      </c>
      <c r="F32" s="9" t="n">
        <v>1186.2249</v>
      </c>
      <c r="G32" s="17" t="n">
        <f aca="false">F32/Basis!$B$5*Basis!$B$7</f>
        <v>41.1883645833333</v>
      </c>
      <c r="H32" s="18" t="n">
        <f aca="false">G32/ABS(E32-D32)</f>
        <v>411.883645833357</v>
      </c>
      <c r="I32" s="16" t="n">
        <v>2</v>
      </c>
      <c r="J32" s="19" t="n">
        <f aca="false">Basis!$B$6</f>
        <v>8760</v>
      </c>
      <c r="K32" s="4" t="s">
        <v>158</v>
      </c>
    </row>
    <row r="33" customFormat="false" ht="15" hidden="false" customHeight="false" outlineLevel="0" collapsed="false">
      <c r="A33" s="4" t="s">
        <v>159</v>
      </c>
      <c r="B33" s="4" t="s">
        <v>160</v>
      </c>
      <c r="C33" s="4" t="s">
        <v>121</v>
      </c>
      <c r="D33" s="16" t="n">
        <v>100</v>
      </c>
      <c r="E33" s="16" t="n">
        <v>50</v>
      </c>
      <c r="F33" s="9" t="n">
        <v>181.3452</v>
      </c>
      <c r="G33" s="17" t="n">
        <f aca="false">F33/Basis!$B$5*Basis!$B$7</f>
        <v>6.29670833333333</v>
      </c>
      <c r="H33" s="18" t="n">
        <f aca="false">G33/ABS(E33-D33)</f>
        <v>0.125934166666667</v>
      </c>
      <c r="I33" s="16" t="n">
        <v>5</v>
      </c>
      <c r="J33" s="19" t="n">
        <f aca="false">Basis!$B$6</f>
        <v>8760</v>
      </c>
      <c r="K33" s="4" t="s">
        <v>161</v>
      </c>
    </row>
    <row r="34" customFormat="false" ht="15" hidden="false" customHeight="false" outlineLevel="0" collapsed="false">
      <c r="A34" s="4" t="s">
        <v>162</v>
      </c>
      <c r="B34" s="4" t="s">
        <v>163</v>
      </c>
      <c r="C34" s="4" t="s">
        <v>121</v>
      </c>
      <c r="D34" s="16" t="n">
        <v>100</v>
      </c>
      <c r="E34" s="16" t="n">
        <v>25</v>
      </c>
      <c r="F34" s="9" t="n">
        <v>3912.1882</v>
      </c>
      <c r="G34" s="17" t="n">
        <f aca="false">F34/Basis!$B$5*Basis!$B$7</f>
        <v>135.839868055556</v>
      </c>
      <c r="H34" s="18" t="n">
        <f aca="false">G34/ABS(E34-D34)</f>
        <v>1.81119824074074</v>
      </c>
      <c r="I34" s="16" t="n">
        <v>8</v>
      </c>
      <c r="J34" s="19" t="n">
        <f aca="false">Basis!$B$6</f>
        <v>8760</v>
      </c>
      <c r="K34" s="4" t="s">
        <v>164</v>
      </c>
    </row>
    <row r="35" customFormat="false" ht="15" hidden="false" customHeight="false" outlineLevel="0" collapsed="false">
      <c r="A35" s="4" t="s">
        <v>165</v>
      </c>
      <c r="B35" s="4" t="s">
        <v>166</v>
      </c>
      <c r="C35" s="4" t="s">
        <v>121</v>
      </c>
      <c r="D35" s="16" t="n">
        <v>45.2</v>
      </c>
      <c r="E35" s="16" t="n">
        <v>10</v>
      </c>
      <c r="F35" s="9" t="n">
        <v>160.0985</v>
      </c>
      <c r="G35" s="17" t="n">
        <f aca="false">F35/Basis!$B$5*Basis!$B$7</f>
        <v>5.55897569444444</v>
      </c>
      <c r="H35" s="18" t="n">
        <f aca="false">G35/ABS(E35-D35)</f>
        <v>0.157925445864899</v>
      </c>
      <c r="I35" s="16" t="n">
        <v>5</v>
      </c>
      <c r="J35" s="19" t="n">
        <f aca="false">Basis!$B$6</f>
        <v>8760</v>
      </c>
      <c r="K35" s="4" t="s">
        <v>167</v>
      </c>
    </row>
    <row r="36" customFormat="false" ht="15" hidden="false" customHeight="false" outlineLevel="0" collapsed="false">
      <c r="A36" s="4" t="s">
        <v>168</v>
      </c>
      <c r="B36" s="4" t="s">
        <v>169</v>
      </c>
      <c r="C36" s="4" t="s">
        <v>121</v>
      </c>
      <c r="D36" s="16" t="n">
        <v>81.7</v>
      </c>
      <c r="E36" s="16" t="n">
        <v>27.2</v>
      </c>
      <c r="F36" s="9" t="n">
        <v>14.8627</v>
      </c>
      <c r="G36" s="17" t="n">
        <f aca="false">F36/Basis!$B$5*Basis!$B$7</f>
        <v>0.516065972222222</v>
      </c>
      <c r="H36" s="18" t="n">
        <f aca="false">G36/ABS(E36-D36)</f>
        <v>0.0094691004077472</v>
      </c>
      <c r="I36" s="16" t="n">
        <v>5</v>
      </c>
      <c r="J36" s="19" t="n">
        <f aca="false">Basis!$B$6</f>
        <v>8760</v>
      </c>
      <c r="K36" s="4" t="s">
        <v>170</v>
      </c>
    </row>
    <row r="37" customFormat="false" ht="15" hidden="false" customHeight="false" outlineLevel="0" collapsed="false">
      <c r="A37" s="4" t="s">
        <v>171</v>
      </c>
      <c r="B37" s="4" t="s">
        <v>172</v>
      </c>
      <c r="C37" s="4" t="s">
        <v>121</v>
      </c>
      <c r="D37" s="16" t="n">
        <v>50</v>
      </c>
      <c r="E37" s="16" t="n">
        <v>9.7</v>
      </c>
      <c r="F37" s="9" t="n">
        <v>28.7279</v>
      </c>
      <c r="G37" s="17" t="n">
        <f aca="false">F37/Basis!$B$5*Basis!$B$7</f>
        <v>0.997496527777778</v>
      </c>
      <c r="H37" s="18" t="n">
        <f aca="false">G37/ABS(E37-D37)</f>
        <v>0.0247517748828233</v>
      </c>
      <c r="I37" s="16" t="n">
        <v>5</v>
      </c>
      <c r="J37" s="19" t="n">
        <f aca="false">Basis!$B$6</f>
        <v>8760</v>
      </c>
      <c r="K37" s="4" t="s">
        <v>173</v>
      </c>
    </row>
    <row r="38" customFormat="false" ht="15" hidden="false" customHeight="false" outlineLevel="0" collapsed="false">
      <c r="A38" s="12"/>
      <c r="B38" s="11" t="s">
        <v>174</v>
      </c>
      <c r="C38" s="12"/>
      <c r="D38" s="12"/>
      <c r="E38" s="12"/>
      <c r="F38" s="20" t="n">
        <f aca="false">SUM(F20:F37)</f>
        <v>17508.1474</v>
      </c>
      <c r="G38" s="21" t="n">
        <f aca="false">SUM(G20:G37)</f>
        <v>607.921784722222</v>
      </c>
      <c r="H38" s="12"/>
      <c r="I38" s="12"/>
      <c r="J38" s="12"/>
      <c r="K3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177</v>
      </c>
      <c r="B5" s="16" t="n">
        <v>4.3</v>
      </c>
      <c r="C5" s="4" t="s">
        <v>178</v>
      </c>
      <c r="D5" s="4" t="s">
        <v>179</v>
      </c>
    </row>
    <row r="6" customFormat="false" ht="15" hidden="false" customHeight="false" outlineLevel="0" collapsed="false">
      <c r="A6" s="4" t="s">
        <v>180</v>
      </c>
      <c r="B6" s="16" t="n">
        <v>0.4</v>
      </c>
      <c r="C6" s="4" t="s">
        <v>181</v>
      </c>
      <c r="D6" s="4" t="s">
        <v>182</v>
      </c>
    </row>
    <row r="7" customFormat="false" ht="15" hidden="false" customHeight="false" outlineLevel="0" collapsed="false">
      <c r="A7" s="4" t="s">
        <v>183</v>
      </c>
      <c r="B7" s="16" t="n">
        <v>2.5</v>
      </c>
      <c r="C7" s="4" t="s">
        <v>181</v>
      </c>
      <c r="D7" s="4" t="s">
        <v>184</v>
      </c>
    </row>
    <row r="8" customFormat="false" ht="15" hidden="false" customHeight="false" outlineLevel="0" collapsed="false">
      <c r="A8" s="4" t="s">
        <v>185</v>
      </c>
      <c r="B8" s="16" t="n">
        <v>0.19</v>
      </c>
      <c r="C8" s="4" t="s">
        <v>181</v>
      </c>
      <c r="D8" s="4" t="s">
        <v>186</v>
      </c>
    </row>
    <row r="9" customFormat="false" ht="15" hidden="false" customHeight="false" outlineLevel="0" collapsed="false">
      <c r="A9" s="4" t="s">
        <v>187</v>
      </c>
      <c r="B9" s="16" t="n">
        <v>0.05</v>
      </c>
      <c r="C9" s="4" t="s">
        <v>181</v>
      </c>
      <c r="D9" s="4" t="s">
        <v>186</v>
      </c>
    </row>
    <row r="10" customFormat="false" ht="15" hidden="false" customHeight="false" outlineLevel="0" collapsed="false">
      <c r="A10" s="4" t="s">
        <v>188</v>
      </c>
      <c r="B10" s="22" t="n">
        <f aca="false">rs_mass!D16/1000</f>
        <v>0.0703090277777778</v>
      </c>
      <c r="C10" s="4" t="s">
        <v>7</v>
      </c>
      <c r="D10" s="4" t="s">
        <v>189</v>
      </c>
    </row>
    <row r="11" customFormat="false" ht="15" hidden="false" customHeight="false" outlineLevel="0" collapsed="false">
      <c r="A11" s="4" t="s">
        <v>190</v>
      </c>
      <c r="B11" s="23" t="n">
        <f aca="false">B5*B6/B7/3.6*1000</f>
        <v>191.111111111111</v>
      </c>
      <c r="C11" s="4" t="s">
        <v>191</v>
      </c>
      <c r="D11" s="12"/>
    </row>
    <row r="13" customFormat="false" ht="15" hidden="false" customHeight="false" outlineLevel="0" collapsed="false">
      <c r="A13" s="3" t="s">
        <v>192</v>
      </c>
      <c r="B13" s="3" t="s">
        <v>193</v>
      </c>
      <c r="C13" s="3" t="s">
        <v>194</v>
      </c>
      <c r="D13" s="3" t="s">
        <v>195</v>
      </c>
    </row>
    <row r="14" customFormat="false" ht="15" hidden="false" customHeight="false" outlineLevel="0" collapsed="false">
      <c r="A14" s="4" t="s">
        <v>196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197</v>
      </c>
    </row>
    <row r="15" customFormat="false" ht="15" hidden="false" customHeight="false" outlineLevel="0" collapsed="false">
      <c r="A15" s="4" t="s">
        <v>198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199</v>
      </c>
    </row>
    <row r="16" customFormat="false" ht="15" hidden="false" customHeight="false" outlineLevel="0" collapsed="false">
      <c r="A16" s="11" t="s">
        <v>200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201</v>
      </c>
    </row>
    <row r="17" customFormat="false" ht="15" hidden="false" customHeight="false" outlineLevel="0" collapsed="false">
      <c r="A17" s="4" t="s">
        <v>202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203</v>
      </c>
    </row>
    <row r="18" customFormat="false" ht="15" hidden="false" customHeight="false" outlineLevel="0" collapsed="false">
      <c r="A18" s="11" t="s">
        <v>204</v>
      </c>
      <c r="B18" s="12"/>
      <c r="C18" s="20" t="n">
        <f aca="false">C16*Basis!$B$6/1000</f>
        <v>1779.725108</v>
      </c>
      <c r="D18" s="12"/>
    </row>
    <row r="20" customFormat="false" ht="15" hidden="false" customHeight="false" outlineLevel="0" collapsed="false">
      <c r="A20" s="2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3" t="s">
        <v>208</v>
      </c>
      <c r="B4" s="3" t="s">
        <v>209</v>
      </c>
      <c r="C4" s="3" t="s">
        <v>210</v>
      </c>
      <c r="D4" s="3" t="s">
        <v>211</v>
      </c>
    </row>
    <row r="5" customFormat="false" ht="15" hidden="false" customHeight="false" outlineLevel="0" collapsed="false">
      <c r="A5" s="4" t="s">
        <v>212</v>
      </c>
      <c r="B5" s="27" t="n">
        <v>630.738028927936</v>
      </c>
      <c r="C5" s="28" t="n">
        <f aca="false">B5*Basis!$B$5</f>
        <v>18165.2552331246</v>
      </c>
      <c r="D5" s="28" t="n">
        <f aca="false">C5*Basis!$B$6/1000</f>
        <v>159127.635842171</v>
      </c>
    </row>
    <row r="6" customFormat="false" ht="15" hidden="false" customHeight="false" outlineLevel="0" collapsed="false">
      <c r="A6" s="4" t="s">
        <v>213</v>
      </c>
      <c r="B6" s="27" t="n">
        <v>607.921785983531</v>
      </c>
      <c r="C6" s="28" t="n">
        <f aca="false">B6*Basis!$B$5</f>
        <v>17508.1474363257</v>
      </c>
      <c r="D6" s="28" t="n">
        <f aca="false">C6*Basis!$B$6/1000</f>
        <v>153371.371542213</v>
      </c>
    </row>
    <row r="7" customFormat="false" ht="15" hidden="false" customHeight="false" outlineLevel="0" collapsed="false">
      <c r="A7" s="4" t="s">
        <v>214</v>
      </c>
      <c r="B7" s="27" t="n">
        <v>235.950121656672</v>
      </c>
      <c r="C7" s="28" t="n">
        <f aca="false">B7*Basis!$B$5</f>
        <v>6795.36350371215</v>
      </c>
      <c r="D7" s="28" t="n">
        <f aca="false">C7*Basis!$B$6/1000</f>
        <v>59527.3842925184</v>
      </c>
    </row>
    <row r="8" customFormat="false" ht="15" hidden="false" customHeight="false" outlineLevel="0" collapsed="false">
      <c r="A8" s="4" t="s">
        <v>215</v>
      </c>
      <c r="B8" s="27" t="n">
        <v>213.133878712266</v>
      </c>
      <c r="C8" s="28" t="n">
        <f aca="false">B8*Basis!$B$5</f>
        <v>6138.25570691327</v>
      </c>
      <c r="D8" s="28" t="n">
        <f aca="false">C8*Basis!$B$6/1000</f>
        <v>53771.1199925602</v>
      </c>
    </row>
    <row r="9" customFormat="false" ht="15" hidden="false" customHeight="false" outlineLevel="0" collapsed="false">
      <c r="A9" s="4" t="s">
        <v>216</v>
      </c>
      <c r="B9" s="27" t="n">
        <v>14.8749702794233</v>
      </c>
      <c r="C9" s="28" t="n">
        <f aca="false">B9*Basis!$B$5</f>
        <v>428.399144047391</v>
      </c>
      <c r="D9" s="28" t="n">
        <f aca="false">C9*Basis!$B$6/1000</f>
        <v>3752.77650185514</v>
      </c>
    </row>
    <row r="10" customFormat="false" ht="15" hidden="false" customHeight="false" outlineLevel="0" collapsed="false">
      <c r="A10" s="4" t="s">
        <v>217</v>
      </c>
      <c r="B10" s="27" t="n">
        <v>394.787907271264</v>
      </c>
      <c r="C10" s="28" t="n">
        <f aca="false">B10*Basis!$B$5</f>
        <v>11369.8917294124</v>
      </c>
      <c r="D10" s="28" t="n">
        <f aca="false">C10*Basis!$B$6/1000</f>
        <v>99600.2515496527</v>
      </c>
    </row>
    <row r="11" customFormat="false" ht="15" hidden="false" customHeight="false" outlineLevel="0" collapsed="false">
      <c r="A11" s="4" t="s">
        <v>218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219</v>
      </c>
    </row>
    <row r="14" customFormat="false" ht="15" hidden="false" customHeight="false" outlineLevel="0" collapsed="false">
      <c r="A14" s="4" t="s">
        <v>220</v>
      </c>
      <c r="B14" s="27" t="n">
        <f aca="false">ROUND(B5-qt!G18,1)</f>
        <v>0</v>
      </c>
    </row>
    <row r="15" customFormat="false" ht="15" hidden="false" customHeight="false" outlineLevel="0" collapsed="false">
      <c r="A15" s="4" t="s">
        <v>221</v>
      </c>
      <c r="B15" s="27" t="n">
        <f aca="false">ROUND(B6-qt!G38,1)</f>
        <v>0</v>
      </c>
    </row>
    <row r="16" customFormat="false" ht="15" hidden="false" customHeight="false" outlineLevel="0" collapsed="false">
      <c r="A16" s="4" t="s">
        <v>222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2026-10-12T17:33:47Z</dcterms:created>
  <dc:creator>openpyxl</dc:creator>
  <dc:description/>
  <dc:language>en-US</dc:language>
  <cp:lastModifiedBy/>
  <dcterms:modified xsi:type="dcterms:W3CDTF">2026-10-12T17:33:47Z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